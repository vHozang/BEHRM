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rm\HRM_TestCases\"/>
    </mc:Choice>
  </mc:AlternateContent>
  <xr:revisionPtr revIDLastSave="0" documentId="13_ncr:1_{E9378FD9-9089-4882-A013-35C39EC586A5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Cover" sheetId="1" r:id="rId1"/>
    <sheet name="Danh sách chức năng" sheetId="4" r:id="rId2"/>
    <sheet name="Kết quả sau merge" sheetId="5" r:id="rId3"/>
    <sheet name="HRM Test Cases" sheetId="2" r:id="rId4"/>
    <sheet name="Test Report" sheetId="3" r:id="rId5"/>
  </sheets>
  <definedNames>
    <definedName name="_xlnm._FilterDatabase" localSheetId="1" hidden="1">'Danh sách chức năng'!$A$2:$F$41</definedName>
    <definedName name="_xlnm._FilterDatabase" localSheetId="3" hidden="1">'HRM Test Cases'!$A$9:$J$464</definedName>
    <definedName name="_xlnm._FilterDatabase" localSheetId="2" hidden="1">'Kết quả sau merge'!$A$2:$C$18</definedName>
    <definedName name="ACTION">#REF!</definedName>
    <definedName name="_xlnm.Print_Area" localSheetId="1">'Danh sách chức năng'!$A$1:$F$41</definedName>
    <definedName name="_xlnm.Print_Area" localSheetId="3">'HRM Test Cases'!$A$1:$J$464</definedName>
    <definedName name="_xlnm.Print_Titles" localSheetId="1">'Danh sách chức năng'!$1:$2</definedName>
    <definedName name="_xlnm.Print_Titles" localSheetId="3">'HRM Test Cases'!$1:$9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G8" i="3" s="1"/>
  <c r="G10" i="3" s="1"/>
  <c r="B7" i="2"/>
  <c r="E8" i="3" s="1"/>
  <c r="E10" i="3" s="1"/>
  <c r="D6" i="2"/>
  <c r="F8" i="3" s="1"/>
  <c r="F10" i="3" s="1"/>
  <c r="B6" i="2"/>
  <c r="D8" i="3" s="1"/>
  <c r="D10" i="3" s="1"/>
  <c r="E13" i="3" l="1"/>
  <c r="E12" i="3"/>
</calcChain>
</file>

<file path=xl/sharedStrings.xml><?xml version="1.0" encoding="utf-8"?>
<sst xmlns="http://schemas.openxmlformats.org/spreadsheetml/2006/main" count="3683" uniqueCount="2005">
  <si>
    <t>TEST CASE</t>
  </si>
  <si>
    <t>Version:</t>
  </si>
  <si>
    <t>Issue date:</t>
  </si>
  <si>
    <t>Project Name:</t>
  </si>
  <si>
    <t>Project Code: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</si>
  <si>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</si>
  <si>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</si>
  <si>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</si>
  <si>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</si>
  <si>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</si>
  <si>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</si>
  <si>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</si>
  <si>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</si>
  <si>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r>
      <t>System Name</t>
    </r>
    <r>
      <rPr>
        <b/>
        <sz val="10"/>
        <rFont val="ＭＳ Ｐゴシック"/>
        <family val="3"/>
      </rPr>
      <t>：</t>
    </r>
  </si>
  <si>
    <r>
      <t>Module Code</t>
    </r>
    <r>
      <rPr>
        <b/>
        <sz val="10"/>
        <rFont val="MS Gothic"/>
        <family val="3"/>
      </rPr>
      <t>：</t>
    </r>
  </si>
  <si>
    <t>Test requirement:</t>
  </si>
  <si>
    <t>Pass</t>
  </si>
  <si>
    <t>Pending</t>
  </si>
  <si>
    <t>Fail</t>
  </si>
  <si>
    <t>Number of test cases:</t>
  </si>
  <si>
    <t>ID</t>
  </si>
  <si>
    <t>Module</t>
  </si>
  <si>
    <t>Test Case Description</t>
  </si>
  <si>
    <t>Test Case Procedure</t>
  </si>
  <si>
    <t>Expected Output</t>
  </si>
  <si>
    <t>Actual Output</t>
  </si>
  <si>
    <t>Test Date</t>
  </si>
  <si>
    <t>Result</t>
  </si>
  <si>
    <t>Note</t>
  </si>
  <si>
    <t>Severity</t>
  </si>
  <si>
    <t>TC001</t>
  </si>
  <si>
    <t>Critical</t>
  </si>
  <si>
    <t>TC002</t>
  </si>
  <si>
    <t>Medium</t>
  </si>
  <si>
    <t>TC003</t>
  </si>
  <si>
    <t>High</t>
  </si>
  <si>
    <t>TC004</t>
  </si>
  <si>
    <t>Sai mật khẩu</t>
  </si>
  <si>
    <t>TC005</t>
  </si>
  <si>
    <t>TC006</t>
  </si>
  <si>
    <t>TC007</t>
  </si>
  <si>
    <t>Low</t>
  </si>
  <si>
    <t>TC008</t>
  </si>
  <si>
    <t>TC009</t>
  </si>
  <si>
    <t>TC010</t>
  </si>
  <si>
    <t>TC011</t>
  </si>
  <si>
    <t>TC012</t>
  </si>
  <si>
    <t>Email sai định dạng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</si>
  <si>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</si>
  <si>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</si>
  <si>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</si>
  <si>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</si>
  <si>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</si>
  <si>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</si>
  <si>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</si>
  <si>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</si>
  <si>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</si>
  <si>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Phòng ban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</si>
  <si>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</si>
  <si>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</si>
  <si>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</si>
  <si>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</si>
  <si>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</si>
  <si>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</si>
  <si>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</si>
  <si>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</si>
  <si>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</si>
  <si>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</si>
  <si>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</si>
  <si>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</si>
  <si>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</si>
  <si>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</si>
  <si>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</si>
  <si>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</si>
  <si>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</si>
  <si>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</si>
  <si>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</si>
  <si>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</si>
  <si>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</si>
  <si>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</si>
  <si>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</si>
  <si>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</si>
  <si>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</si>
  <si>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</si>
  <si>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</si>
  <si>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</si>
  <si>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</si>
  <si>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</si>
  <si>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</si>
  <si>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</si>
  <si>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</si>
  <si>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</si>
  <si>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</si>
  <si>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</si>
  <si>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</si>
  <si>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</si>
  <si>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</si>
  <si>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</si>
  <si>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</si>
  <si>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</si>
  <si>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</si>
  <si>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</si>
  <si>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</si>
  <si>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</si>
  <si>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</si>
  <si>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</si>
  <si>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</si>
  <si>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</si>
  <si>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</si>
  <si>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</si>
  <si>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</si>
  <si>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</si>
  <si>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</si>
  <si>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</si>
  <si>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</si>
  <si>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</si>
  <si>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</si>
  <si>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</si>
  <si>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</si>
  <si>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</si>
  <si>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</si>
  <si>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</si>
  <si>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</si>
  <si>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</si>
  <si>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</si>
  <si>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</si>
  <si>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</si>
  <si>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</si>
  <si>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</si>
  <si>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</si>
  <si>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</si>
  <si>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</si>
  <si>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</si>
  <si>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</si>
  <si>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Ngày kết thúc trước ngày bắt đầu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</si>
  <si>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</si>
  <si>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</si>
  <si>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</si>
  <si>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</si>
  <si>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</si>
  <si>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</si>
  <si>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</si>
  <si>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</si>
  <si>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</si>
  <si>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</si>
  <si>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</si>
  <si>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</si>
  <si>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</si>
  <si>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</si>
  <si>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</si>
  <si>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</si>
  <si>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</si>
  <si>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</si>
  <si>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</si>
  <si>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</si>
  <si>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</si>
  <si>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</si>
  <si>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</si>
  <si>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</si>
  <si>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</si>
  <si>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</si>
  <si>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</si>
  <si>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</si>
  <si>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</si>
  <si>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</si>
  <si>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</si>
  <si>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</si>
  <si>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</si>
  <si>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</si>
  <si>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</si>
  <si>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</si>
  <si>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</si>
  <si>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</si>
  <si>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</si>
  <si>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</si>
  <si>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</si>
  <si>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</si>
  <si>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</si>
  <si>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</si>
  <si>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</si>
  <si>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</si>
  <si>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</si>
  <si>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</si>
  <si>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</si>
  <si>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</si>
  <si>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</si>
  <si>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</si>
  <si>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</si>
  <si>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</si>
  <si>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</si>
  <si>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</si>
  <si>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</si>
  <si>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</si>
  <si>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</si>
  <si>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</si>
  <si>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</si>
  <si>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</si>
  <si>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</si>
  <si>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</si>
  <si>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</si>
  <si>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</si>
  <si>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Tạo yêu cầu hợp lệ</t>
  </si>
  <si>
    <t>TC164</t>
  </si>
  <si>
    <t>TC165</t>
  </si>
  <si>
    <t>TC166</t>
  </si>
  <si>
    <t>TC167</t>
  </si>
  <si>
    <t>TC168</t>
  </si>
  <si>
    <t>TC169</t>
  </si>
  <si>
    <t>TC170</t>
  </si>
  <si>
    <t>Từ chối yêu cầu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</si>
  <si>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</si>
  <si>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</si>
  <si>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</si>
  <si>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</si>
  <si>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</si>
  <si>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</si>
  <si>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</si>
  <si>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</si>
  <si>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</si>
  <si>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</si>
  <si>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</si>
  <si>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</si>
  <si>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</si>
  <si>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</si>
  <si>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</si>
  <si>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</si>
  <si>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</si>
  <si>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</si>
  <si>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</si>
  <si>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</si>
  <si>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</si>
  <si>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</si>
  <si>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</si>
  <si>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</si>
  <si>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</si>
  <si>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</si>
  <si>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</si>
  <si>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</si>
  <si>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TC199</t>
  </si>
  <si>
    <t>TC200</t>
  </si>
  <si>
    <t>TC201</t>
  </si>
  <si>
    <t>TC202</t>
  </si>
  <si>
    <t>TC203</t>
  </si>
  <si>
    <t>TC204</t>
  </si>
  <si>
    <t>TC205</t>
  </si>
  <si>
    <t>TC206</t>
  </si>
  <si>
    <t>TC207</t>
  </si>
  <si>
    <t>TC208</t>
  </si>
  <si>
    <t>TC209</t>
  </si>
  <si>
    <t>TC210</t>
  </si>
  <si>
    <t>TC211</t>
  </si>
  <si>
    <t>TC212</t>
  </si>
  <si>
    <t>TC213</t>
  </si>
  <si>
    <t>TC214</t>
  </si>
  <si>
    <t>TC215</t>
  </si>
  <si>
    <t>TC216</t>
  </si>
  <si>
    <t>TC217</t>
  </si>
  <si>
    <t>TC218</t>
  </si>
  <si>
    <t>TC219</t>
  </si>
  <si>
    <t>TC220</t>
  </si>
  <si>
    <t>TC221</t>
  </si>
  <si>
    <t>TC222</t>
  </si>
  <si>
    <t>TC223</t>
  </si>
  <si>
    <t>TC224</t>
  </si>
  <si>
    <t>TC225</t>
  </si>
  <si>
    <t>TC226</t>
  </si>
  <si>
    <t>TC227</t>
  </si>
  <si>
    <t>TC228</t>
  </si>
  <si>
    <t>TC229</t>
  </si>
  <si>
    <t>TC230</t>
  </si>
  <si>
    <t>TC231</t>
  </si>
  <si>
    <t>TC232</t>
  </si>
  <si>
    <t>TC233</t>
  </si>
  <si>
    <t>TC234</t>
  </si>
  <si>
    <t>TC235</t>
  </si>
  <si>
    <t>TC236</t>
  </si>
  <si>
    <t>TC237</t>
  </si>
  <si>
    <t>TEST REPORT</t>
  </si>
  <si>
    <t>Note: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</si>
  <si>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</si>
  <si>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</si>
  <si>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</si>
  <si>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</si>
  <si>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</si>
  <si>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</si>
  <si>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</si>
  <si>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TC238</t>
  </si>
  <si>
    <t>TC239</t>
  </si>
  <si>
    <t>TC240</t>
  </si>
  <si>
    <t>TC241</t>
  </si>
  <si>
    <t>TC242</t>
  </si>
  <si>
    <t>TC243</t>
  </si>
  <si>
    <t>TC244</t>
  </si>
  <si>
    <t>TC245</t>
  </si>
  <si>
    <t>TC246</t>
  </si>
  <si>
    <t>TC247</t>
  </si>
  <si>
    <t>TC248</t>
  </si>
  <si>
    <t>TC249</t>
  </si>
  <si>
    <t>TC250</t>
  </si>
  <si>
    <t>TC251</t>
  </si>
  <si>
    <t>TC252</t>
  </si>
  <si>
    <t>TC253</t>
  </si>
  <si>
    <t>TC254</t>
  </si>
  <si>
    <t>TC255</t>
  </si>
  <si>
    <t>TC256</t>
  </si>
  <si>
    <t>TC257</t>
  </si>
  <si>
    <t>TC258</t>
  </si>
  <si>
    <t>TC259</t>
  </si>
  <si>
    <t>TC260</t>
  </si>
  <si>
    <t>TC261</t>
  </si>
  <si>
    <t>TC262</t>
  </si>
  <si>
    <t>TC263</t>
  </si>
  <si>
    <t>TC264</t>
  </si>
  <si>
    <t>TC265</t>
  </si>
  <si>
    <t>TC266</t>
  </si>
  <si>
    <t>TC267</t>
  </si>
  <si>
    <t>TC268</t>
  </si>
  <si>
    <t>TC269</t>
  </si>
  <si>
    <t>TC270</t>
  </si>
  <si>
    <t>TC271</t>
  </si>
  <si>
    <t>TC272</t>
  </si>
  <si>
    <t>TC273</t>
  </si>
  <si>
    <t>TC274</t>
  </si>
  <si>
    <t>TC275</t>
  </si>
  <si>
    <t>TC276</t>
  </si>
  <si>
    <t>TC277</t>
  </si>
  <si>
    <t>TC278</t>
  </si>
  <si>
    <t>TC279</t>
  </si>
  <si>
    <t>TC280</t>
  </si>
  <si>
    <t>TC281</t>
  </si>
  <si>
    <t>TC282</t>
  </si>
  <si>
    <t>TC283</t>
  </si>
  <si>
    <t>TC284</t>
  </si>
  <si>
    <t>TC285</t>
  </si>
  <si>
    <t>TC286</t>
  </si>
  <si>
    <t>TC287</t>
  </si>
  <si>
    <t>TC288</t>
  </si>
  <si>
    <t>TC289</t>
  </si>
  <si>
    <t>TC290</t>
  </si>
  <si>
    <t>TC291</t>
  </si>
  <si>
    <t>TC292</t>
  </si>
  <si>
    <t>TC293</t>
  </si>
  <si>
    <t>TC294</t>
  </si>
  <si>
    <t>TC295</t>
  </si>
  <si>
    <t>TC296</t>
  </si>
  <si>
    <t>TC297</t>
  </si>
  <si>
    <t>TC298</t>
  </si>
  <si>
    <t>TC299</t>
  </si>
  <si>
    <t>TC300</t>
  </si>
  <si>
    <t>TC301</t>
  </si>
  <si>
    <t>TC302</t>
  </si>
  <si>
    <t>TC303</t>
  </si>
  <si>
    <t>TC304</t>
  </si>
  <si>
    <t>TC305</t>
  </si>
  <si>
    <t>TC306</t>
  </si>
  <si>
    <t>TC307</t>
  </si>
  <si>
    <t>TC308</t>
  </si>
  <si>
    <t>TC309</t>
  </si>
  <si>
    <t>TC310</t>
  </si>
  <si>
    <t>TC311</t>
  </si>
  <si>
    <t>TC312</t>
  </si>
  <si>
    <t>TC313</t>
  </si>
  <si>
    <t>TC314</t>
  </si>
  <si>
    <t>TC315</t>
  </si>
  <si>
    <t>TC316</t>
  </si>
  <si>
    <t>TC317</t>
  </si>
  <si>
    <t>TC318</t>
  </si>
  <si>
    <t>TC319</t>
  </si>
  <si>
    <t>TC320</t>
  </si>
  <si>
    <t>TC321</t>
  </si>
  <si>
    <t>30/07/2026</t>
  </si>
  <si>
    <t>HỆ THỐNG QUẢN LÝ NHÂN SỰ HRM - FE, BE, MÁY CHẤM CÔNG VÀ AI CHẤM CV</t>
  </si>
  <si>
    <t>BEHRM-HRM</t>
  </si>
  <si>
    <t>1.0</t>
  </si>
  <si>
    <t>HRM Test Cases</t>
  </si>
  <si>
    <t>Test case được lập từ router FE, API Laravel, controller, business rules, feature tests, tools/zk-bridge và resume-backend</t>
  </si>
  <si>
    <t>Codex</t>
  </si>
  <si>
    <t>Project Owner / QA</t>
  </si>
  <si>
    <t>BEHRM production</t>
  </si>
  <si>
    <t>HRM System / BEHRM</t>
  </si>
  <si>
    <t>HRM - Functional, Workflow, API, Authorization, Security, Integration, UI</t>
  </si>
  <si>
    <t>Hạ tầng &amp; API</t>
  </si>
  <si>
    <t>API health hoạt động</t>
  </si>
  <si>
    <t>Gọi GET /api/v1/health qua HTTPS production</t>
  </si>
  <si>
    <t>Trả 200 JSON; app, database, cache và queue có giá trị hợp lệ</t>
  </si>
  <si>
    <t>API root công bố đúng endpoint</t>
  </si>
  <si>
    <t>Gọi GET /api/v1</t>
  </si>
  <si>
    <t>Trả version v1 và đường dẫn health/login/me đúng</t>
  </si>
  <si>
    <t>Frontend tải được qua domain</t>
  </si>
  <si>
    <t>Mở trang chủ và /careers bằng cửa sổ ẩn danh</t>
  </si>
  <si>
    <t>HTTPS hợp lệ; FE tải đủ JS/CSS, không mixed-content hoặc lỗi 404</t>
  </si>
  <si>
    <t>CORS từ domain chính</t>
  </si>
  <si>
    <t>Từ devtapcode.io.vn gọi API bằng trình duyệt</t>
  </si>
  <si>
    <t>Preflight và request thật được chấp nhận đúng origin/method/header</t>
  </si>
  <si>
    <t>Chuẩn lỗi API</t>
  </si>
  <si>
    <t>Gọi endpoint không tồn tại và gửi Accept: application/json</t>
  </si>
  <si>
    <t>Trả JSON 404/405 nhất quán; không lộ stack trace hoặc secret</t>
  </si>
  <si>
    <t>Dịch vụ phụ thuộc bị gián đoạn</t>
  </si>
  <si>
    <t>Tạm mô phỏng DB/cache/AI không phản hồi rồi gọi chức năng liên quan</t>
  </si>
  <si>
    <t>Timeout hữu hạn, thông báo dễ hiểu, không làm treo giao diện</t>
  </si>
  <si>
    <t>Xác thực</t>
  </si>
  <si>
    <t>Đăng nhập admin hợp lệ</t>
  </si>
  <si>
    <t>Nhập đúng tài khoản admin và mật khẩu rồi bấm Đăng nhập</t>
  </si>
  <si>
    <t>Nhận token, tải /auth/me và chuyển đến Dashboard</t>
  </si>
  <si>
    <t>Đăng nhập nhân viên hợp lệ</t>
  </si>
  <si>
    <t>Nhập đúng tài khoản employee</t>
  </si>
  <si>
    <t>Chuyển đến Employee Portal; không hiện menu quản trị</t>
  </si>
  <si>
    <t>Đăng nhập nhanh demo từng vai trò</t>
  </si>
  <si>
    <t>Lần lượt bấm các nút demo admin/HR/payroll/manager/employee</t>
  </si>
  <si>
    <t>Mỗi nút dùng đúng tài khoản seed và vào đúng màn hình được phép</t>
  </si>
  <si>
    <t>Nhập tài khoản đúng, mật khẩu sai</t>
  </si>
  <si>
    <t>Trả 401; không tạo token; thông báo đăng nhập thất bại</t>
  </si>
  <si>
    <t>Bỏ trống thông tin đăng nhập</t>
  </si>
  <si>
    <t>Để trống email/tên đăng nhập hoặc mật khẩu rồi submit</t>
  </si>
  <si>
    <t>Validation hiển thị tại đúng trường</t>
  </si>
  <si>
    <t>Email/tên đăng nhập không tồn tại</t>
  </si>
  <si>
    <t>Nhập định danh chưa đăng ký</t>
  </si>
  <si>
    <t>Không tiết lộ tài khoản có tồn tại hay không; không đăng nhập</t>
  </si>
  <si>
    <t>Giới hạn brute force</t>
  </si>
  <si>
    <t>Gửi quá 10 lần login sai trong một phút</t>
  </si>
  <si>
    <t>Endpoint bị throttle 429 và tự mở lại sau thời gian giới hạn</t>
  </si>
  <si>
    <t>Lấy thông tin phiên</t>
  </si>
  <si>
    <t>Đăng nhập rồi gọi GET /auth/me</t>
  </si>
  <si>
    <t>Trả đúng user, employee, role, module access và tenant</t>
  </si>
  <si>
    <t>Refresh token hợp lệ</t>
  </si>
  <si>
    <t>Gọi POST /auth/refresh với token còn hiệu lực</t>
  </si>
  <si>
    <t>Cấp token mới; token dùng được cho API bảo vệ</t>
  </si>
  <si>
    <t>Token thiếu/hết hạn/giả mạo</t>
  </si>
  <si>
    <t>Gọi API bảo vệ lần lượt không token, token hết hạn và token bị sửa</t>
  </si>
  <si>
    <t>Trả 401; không trả dữ liệu</t>
  </si>
  <si>
    <t>Đổi mật khẩu đúng mật khẩu hiện tại</t>
  </si>
  <si>
    <t>Gọi POST /auth/change-password với mật khẩu hiện tại và mật khẩu mới hợp lệ</t>
  </si>
  <si>
    <t>Đổi thành công; mật khẩu cũ không đăng nhập được</t>
  </si>
  <si>
    <t>Đổi mật khẩu với mật khẩu hiện tại sai</t>
  </si>
  <si>
    <t>Nhập sai mật khẩu hiện tại</t>
  </si>
  <si>
    <t>Không đổi mật khẩu; trả lỗi rõ ràng</t>
  </si>
  <si>
    <t>Quên mật khẩu</t>
  </si>
  <si>
    <t>Gọi POST /auth/forgot-password với email hợp lệ</t>
  </si>
  <si>
    <t>Tạo token/link reset theo cấu hình, phản hồi không lộ thông tin nhạy cảm</t>
  </si>
  <si>
    <t>Đặt lại mật khẩu bằng token hợp lệ</t>
  </si>
  <si>
    <t>Gọi POST /auth/reset-password với token còn hạn và mật khẩu đạt policy</t>
  </si>
  <si>
    <t>Đặt lại thành công và đăng nhập được bằng mật khẩu mới</t>
  </si>
  <si>
    <t>Token reset sai, hết hạn hoặc dùng lại</t>
  </si>
  <si>
    <t>Thử reset với token giả, token hết hạn và token đã sử dụng</t>
  </si>
  <si>
    <t>Từ chối cả ba trường hợp; không thay đổi mật khẩu</t>
  </si>
  <si>
    <t>Đăng xuất phía client</t>
  </si>
  <si>
    <t>Đăng nhập, bấm Đăng xuất rồi mở URL bảo vệ</t>
  </si>
  <si>
    <t>Xóa token/local storage và chuyển về /login</t>
  </si>
  <si>
    <t>Phân quyền &amp; tenant</t>
  </si>
  <si>
    <t>Xem danh sách vai trò</t>
  </si>
  <si>
    <t>1. Đăng nhập tài khoản có quyền
2. Gọi GET /roles
3. Đổi trang, số bản ghi và bộ lọc</t>
  </si>
  <si>
    <t>Danh sách đúng tenant, phân trang và bộ lọc trả dữ liệu chính xác</t>
  </si>
  <si>
    <t>Xem chi tiết vai trò</t>
  </si>
  <si>
    <t>1. Chọn một bản ghi tồn tại
2. Gọi GET /roles/{id}</t>
  </si>
  <si>
    <t>Hiển thị đúng đầy đủ dữ liệu của bản ghi</t>
  </si>
  <si>
    <t>Tạo vai trò hợp lệ</t>
  </si>
  <si>
    <t>1. Mở form thêm mới
2. Nhập đầy đủ dữ liệu hợp lệ
3. Gọi POST /roles</t>
  </si>
  <si>
    <t>Tạo thành công, trả 201 và bản ghi xuất hiện trong danh sách</t>
  </si>
  <si>
    <t>Bỏ trống tên vai trò khi tạo vai trò</t>
  </si>
  <si>
    <t>1. Mở form thêm mới
2. Bỏ trống tên vai trò
3. Bấm Lưu</t>
  </si>
  <si>
    <t>Không tạo dữ liệu; hiển thị validation cho tên vai trò</t>
  </si>
  <si>
    <t>Tạo vai trò với mã/tên vai trò bị trùng</t>
  </si>
  <si>
    <t>1. Lấy mã/tên vai trò đang tồn tại
2. Tạo bản ghi mới với cùng giá trị</t>
  </si>
  <si>
    <t>API trả 422; thông báo mã/tên vai trò đã tồn tại</t>
  </si>
  <si>
    <t>Cập nhật vai trò</t>
  </si>
  <si>
    <t>1. Mở bản ghi tồn tại
2. Thay đổi dữ liệu hợp lệ
3. Gọi PATCH /roles/{id}</t>
  </si>
  <si>
    <t>Dữ liệu được cập nhật, không làm mất các trường không gửi lên</t>
  </si>
  <si>
    <t>Truy cập vai trò không tồn tại</t>
  </si>
  <si>
    <t>Gọi GET/PATCH /roles/999999999</t>
  </si>
  <si>
    <t>API trả 404, giao diện thông báo rõ ràng và không lỗi trang</t>
  </si>
  <si>
    <t>Xóa vai trò không có ràng buộc</t>
  </si>
  <si>
    <t>1. Tạo bản ghi thử không được tham chiếu
2. Gọi DELETE /roles/{id}</t>
  </si>
  <si>
    <t>Xóa thành công và ghi nhận audit log</t>
  </si>
  <si>
    <t>Xóa vai trò đang được sử dụng</t>
  </si>
  <si>
    <t>1. Chọn vai trò có dữ liệu liên quan
2. Gọi DELETE /roles/{id}</t>
  </si>
  <si>
    <t>API trả 409 và nêu rõ ràng buộc: vai trò hệ thống hoặc đang gán nhân viên</t>
  </si>
  <si>
    <t>Gán permission cho role</t>
  </si>
  <si>
    <t>Chọn role, bật/tắt quyền rồi lưu vào /role-permissions</t>
  </si>
  <si>
    <t>Quyền được lưu và áp dụng ngay sau khi tải lại phiên</t>
  </si>
  <si>
    <t>Ẩn menu ngoài module được cấp</t>
  </si>
  <si>
    <t>Đăng nhập role chỉ có payroll hoặc recruitment</t>
  </si>
  <si>
    <t>Chỉ hiện menu module được cấp; dashboard điều hướng đúng fallback</t>
  </si>
  <si>
    <t>Chặn URL trực tiếp ngoài module</t>
  </si>
  <si>
    <t>Dùng role hạn chế gọi URL FE và API module khác</t>
  </si>
  <si>
    <t>FE điều hướng an toàn; BE trả 403</t>
  </si>
  <si>
    <t>Employee không được ghi module admin</t>
  </si>
  <si>
    <t>Dùng token employee gọi POST/PATCH/DELETE employees, payroll hoặc settings</t>
  </si>
  <si>
    <t>Tất cả request bị từ chối 403</t>
  </si>
  <si>
    <t>Dữ liệu nhạy cảm nhân viên bị che</t>
  </si>
  <si>
    <t>Dùng employee thường gọi danh bạ nhân viên</t>
  </si>
  <si>
    <t>Không trả lương, tài khoản ngân hàng, giấy tờ hoặc dữ liệu ngoài phạm vi</t>
  </si>
  <si>
    <t>Cô lập danh sách giữa hai tenant</t>
  </si>
  <si>
    <t>Tạo dữ liệu cùng loại ở tenant A và B; gọi list bằng từng token</t>
  </si>
  <si>
    <t>Mỗi tenant chỉ nhìn thấy dữ liệu của mình</t>
  </si>
  <si>
    <t>Cô lập truy cập theo ID giữa tenant</t>
  </si>
  <si>
    <t>Dùng token tenant A gọi show/update/delete ID thuộc tenant B</t>
  </si>
  <si>
    <t>Trả 404/403; không thay đổi dữ liệu tenant B</t>
  </si>
  <si>
    <t>Chặn foreign key chéo tenant</t>
  </si>
  <si>
    <t>Tạo dependent/asset assignment/role assignment tham chiếu employee tenant khác</t>
  </si>
  <si>
    <t>API trả 422 tại trường *_id</t>
  </si>
  <si>
    <t>Chỉ super admin truy cập Platform</t>
  </si>
  <si>
    <t>Dùng admin thường và super admin mở /platform/tenants</t>
  </si>
  <si>
    <t>Admin thường bị chặn; super admin xem được</t>
  </si>
  <si>
    <t>Dashboard &amp; phân tích</t>
  </si>
  <si>
    <t>Tải thống kê Dashboard</t>
  </si>
  <si>
    <t>Đăng nhập admin có module HR/time/recruitment; mở /</t>
  </si>
  <si>
    <t>Các KPI và biểu đồ tải thành công từ /dashboard/stats</t>
  </si>
  <si>
    <t>Headcount loại tài khoản hệ thống</t>
  </si>
  <si>
    <t>So sánh số nhân viên hoạt động với KPI headcount</t>
  </si>
  <si>
    <t>Không tính tài khoản seed/system không phải nhân viên thực</t>
  </si>
  <si>
    <t>Lọc thống kê theo thời gian/pháp nhân</t>
  </si>
  <si>
    <t>Đổi khoảng ngày hoặc pháp nhân trên dashboard</t>
  </si>
  <si>
    <t>Mọi thẻ và biểu đồ cập nhật cùng phạm vi lọc</t>
  </si>
  <si>
    <t>Dashboard khi không có dữ liệu</t>
  </si>
  <si>
    <t>Mở dashboard tenant mới chưa có dữ liệu</t>
  </si>
  <si>
    <t>Hiển thị 0/empty state; không NaN, lỗi biểu đồ hoặc lỗi trang</t>
  </si>
  <si>
    <t>Số liệu tuyển dụng khớp nguồn</t>
  </si>
  <si>
    <t>Đối chiếu số ứng viên/tin mở với module tuyển dụng</t>
  </si>
  <si>
    <t>Số liệu khớp dữ liệu trong cùng tenant</t>
  </si>
  <si>
    <t>Số liệu chấm công và nghỉ phép</t>
  </si>
  <si>
    <t>Đối chiếu đi muộn/vắng/nghỉ với bản công ngày</t>
  </si>
  <si>
    <t>KPI tính đúng ngày, timezone và trạng thái duyệt</t>
  </si>
  <si>
    <t>Role không có dashboard được điều hướng</t>
  </si>
  <si>
    <t>Đăng nhập role chỉ có payroll</t>
  </si>
  <si>
    <t>Không vào dashboard trái quyền; chuyển đến /salaries</t>
  </si>
  <si>
    <t>Portal nhân viên</t>
  </si>
  <si>
    <t>Tải tổng quan cá nhân</t>
  </si>
  <si>
    <t>Đăng nhập employee và mở /employee-portal</t>
  </si>
  <si>
    <t>Hiển thị đúng thông tin, công hôm nay, phép, đơn và thông báo của chính mình</t>
  </si>
  <si>
    <t>Không xem dữ liệu employee khác</t>
  </si>
  <si>
    <t>Sửa ID/request phía client để truy cập người khác</t>
  </si>
  <si>
    <t>API chặn hoặc chỉ trả dữ liệu self-scope</t>
  </si>
  <si>
    <t>Điều hướng tác vụ nhanh</t>
  </si>
  <si>
    <t>Bấm chấm công, nghỉ phép, phiếu lương, hồ sơ từ portal</t>
  </si>
  <si>
    <t>Đi đúng màn hình và giữ đúng quyền</t>
  </si>
  <si>
    <t>Portal khi nhân viên chưa liên kết user</t>
  </si>
  <si>
    <t>Đăng nhập user thiếu employee_id</t>
  </si>
  <si>
    <t>Hiển thị lỗi cấu hình có kiểm soát, không trả dữ liệu người khác</t>
  </si>
  <si>
    <t>Thông báo/badge cập nhật</t>
  </si>
  <si>
    <t>Đọc thông báo rồi quay lại portal</t>
  </si>
  <si>
    <t>Badge chưa đọc giảm đúng mà không cần đăng nhập lại</t>
  </si>
  <si>
    <t>Dữ liệu portal sau reload</t>
  </si>
  <si>
    <t>Mở portal, reload trình duyệt</t>
  </si>
  <si>
    <t>Phiên và dữ liệu được khôi phục, không nhảy sai dashboard</t>
  </si>
  <si>
    <t>Nhân viên</t>
  </si>
  <si>
    <t>Danh sách và phân trang nhân viên</t>
  </si>
  <si>
    <t>Mở /employees, tìm kiếm, lọc phòng ban/trạng thái và đổi trang</t>
  </si>
  <si>
    <t>Danh sách đúng điều kiện; không lộ dữ liệu ngoài tenant</t>
  </si>
  <si>
    <t>Tạo nhân viên hợp lệ</t>
  </si>
  <si>
    <t>Nhập họ tên, email và các trường hợp lệ rồi POST /employees</t>
  </si>
  <si>
    <t>Tạo 201; chuẩn hóa trạng thái; lưu đủ trường và tạo liên kết cần thiết</t>
  </si>
  <si>
    <t>Thiếu họ tên</t>
  </si>
  <si>
    <t>Tạo nhân viên không có full_name</t>
  </si>
  <si>
    <t>Trả 422 tại full_name</t>
  </si>
  <si>
    <t>Thiếu email</t>
  </si>
  <si>
    <t>Tạo nhân viên không có email</t>
  </si>
  <si>
    <t>Trả 422 tại email</t>
  </si>
  <si>
    <t>Nhập email không hợp lệ</t>
  </si>
  <si>
    <t>Không tạo; hiển thị lỗi email</t>
  </si>
  <si>
    <t>Email trùng trong tenant</t>
  </si>
  <si>
    <t>Tạo/cập nhật nhân viên bằng email đã tồn tại</t>
  </si>
  <si>
    <t>Trả 422; không ghi đè nhân viên cũ</t>
  </si>
  <si>
    <t>Mã nhân viên trùng</t>
  </si>
  <si>
    <t>Nhập employee_code đã sử dụng</t>
  </si>
  <si>
    <t>Không tạo; thông báo mã phải duy nhất</t>
  </si>
  <si>
    <t>Xem chi tiết nhân viên</t>
  </si>
  <si>
    <t>Mở /employees/{id}</t>
  </si>
  <si>
    <t>Hiển thị đúng thông tin cơ bản, công việc, hợp đồng và tab liên quan</t>
  </si>
  <si>
    <t>Cập nhật một phần hồ sơ</t>
  </si>
  <si>
    <t>PATCH chỉ một trường profile/meta</t>
  </si>
  <si>
    <t>Trường được đổi; các khóa profile/meta cũ được giữ nguyên</t>
  </si>
  <si>
    <t>Cập nhật phòng ban/chức danh</t>
  </si>
  <si>
    <t>Đổi department_id/position_id hợp lệ</t>
  </si>
  <si>
    <t>Thông tin tổ chức và sơ đồ cập nhật đồng bộ</t>
  </si>
  <si>
    <t>Lookup nhân viên</t>
  </si>
  <si>
    <t>Gọi GET /employees/lookup với từ khóa</t>
  </si>
  <si>
    <t>Trả tập tối thiểu id/tên/mã đúng quyền và nhanh</t>
  </si>
  <si>
    <t>Import Excel/CSV hợp lệ</t>
  </si>
  <si>
    <t>Tải file mẫu nhiều nhân viên hợp lệ lên /employees/import</t>
  </si>
  <si>
    <t>Import đúng số dòng; trả báo cáo thành công/lỗi</t>
  </si>
  <si>
    <t>Import có dòng lỗi</t>
  </si>
  <si>
    <t>Tải file có email trùng, thiếu tên và sai định dạng ngày</t>
  </si>
  <si>
    <t>Không làm hỏng dữ liệu; báo lỗi theo từng dòng</t>
  </si>
  <si>
    <t>Import thử việc</t>
  </si>
  <si>
    <t>Tải danh sách thử việc qua /employees/import-probation</t>
  </si>
  <si>
    <t>Tạo/cập nhật đúng hồ sơ thử việc, không nhân đôi dữ liệu</t>
  </si>
  <si>
    <t>Xóa nhân viên không ràng buộc</t>
  </si>
  <si>
    <t>Tạo nhân viên thử không có dữ liệu liên quan rồi DELETE</t>
  </si>
  <si>
    <t>Xóa/soft-delete đúng rule và ghi audit</t>
  </si>
  <si>
    <t>Chặn xóa nhân viên có hợp đồng hoạt động</t>
  </si>
  <si>
    <t>DELETE nhân viên có hợp đồng active</t>
  </si>
  <si>
    <t>Trả 409 và nêu ràng buộc hợp đồng</t>
  </si>
  <si>
    <t>Chặn xóa nhân viên còn lương/role/tài sản</t>
  </si>
  <si>
    <t>Lần lượt thử xóa nhân viên có lương chưa trả, role active hoặc tài sản chưa hoàn</t>
  </si>
  <si>
    <t>Trả đầy đủ các violation; không xóa</t>
  </si>
  <si>
    <t>Tách nhân viên khỏi tổ chức</t>
  </si>
  <si>
    <t>POST /employees/{id}/detach-from-org</t>
  </si>
  <si>
    <t>Gỡ liên kết tổ chức theo rule nhưng giữ lịch sử nhân sự</t>
  </si>
  <si>
    <t>Trạng thái không tự chuyển nghỉ việc sai</t>
  </si>
  <si>
    <t>Nhân viên thiếu hoặc hết hạn hợp đồng nhưng chưa có quyết định nghỉ</t>
  </si>
  <si>
    <t>Không tự đổi thành TERMINATED</t>
  </si>
  <si>
    <t>Org chart</t>
  </si>
  <si>
    <t>Gọi /employees/org-chart và mở sơ đồ tổ chức</t>
  </si>
  <si>
    <t>Cây đúng quan hệ quản lý/phòng ban; không vòng lặp</t>
  </si>
  <si>
    <t>Xem danh sách phòng ban</t>
  </si>
  <si>
    <t>1. Đăng nhập tài khoản có quyền
2. Gọi GET /departments
3. Đổi trang, số bản ghi và bộ lọc</t>
  </si>
  <si>
    <t>Xem chi tiết phòng ban</t>
  </si>
  <si>
    <t>1. Chọn một bản ghi tồn tại
2. Gọi GET /departments/{id}</t>
  </si>
  <si>
    <t>Tạo phòng ban hợp lệ</t>
  </si>
  <si>
    <t>1. Mở form thêm mới
2. Nhập đầy đủ dữ liệu hợp lệ
3. Gọi POST /departments</t>
  </si>
  <si>
    <t>Bỏ trống tên phòng ban khi tạo phòng ban</t>
  </si>
  <si>
    <t>1. Mở form thêm mới
2. Bỏ trống tên phòng ban
3. Bấm Lưu</t>
  </si>
  <si>
    <t>Không tạo dữ liệu; hiển thị validation cho tên phòng ban</t>
  </si>
  <si>
    <t>Tạo phòng ban với mã phòng ban bị trùng</t>
  </si>
  <si>
    <t>1. Lấy mã phòng ban đang tồn tại
2. Tạo bản ghi mới với cùng giá trị</t>
  </si>
  <si>
    <t>API trả 422; thông báo mã phòng ban đã tồn tại</t>
  </si>
  <si>
    <t>Cập nhật phòng ban</t>
  </si>
  <si>
    <t>1. Mở bản ghi tồn tại
2. Thay đổi dữ liệu hợp lệ
3. Gọi PATCH /departments/{id}</t>
  </si>
  <si>
    <t>Truy cập phòng ban không tồn tại</t>
  </si>
  <si>
    <t>Gọi GET/PATCH /departments/999999999</t>
  </si>
  <si>
    <t>Xóa phòng ban không có ràng buộc</t>
  </si>
  <si>
    <t>1. Tạo bản ghi thử không được tham chiếu
2. Gọi DELETE /departments/{id}</t>
  </si>
  <si>
    <t>Xóa phòng ban đang được sử dụng</t>
  </si>
  <si>
    <t>1. Chọn phòng ban có dữ liệu liên quan
2. Gọi DELETE /departments/{id}</t>
  </si>
  <si>
    <t>API trả 409 và nêu rõ ràng buộc: đang có nhân viên/hợp đồng/tin tuyển dụng</t>
  </si>
  <si>
    <t>Gán nhân viên vào phòng ban</t>
  </si>
  <si>
    <t>POST /departments/{id}/assign-employee với employee_id hợp lệ</t>
  </si>
  <si>
    <t>Nhân viên thuộc phòng ban và xuất hiện trong danh sách members</t>
  </si>
  <si>
    <t>Gỡ nhân viên khỏi phòng ban</t>
  </si>
  <si>
    <t>POST remove-employee hoặc DELETE members/{employeeId}</t>
  </si>
  <si>
    <t>Gỡ đúng quan hệ, không xóa hồ sơ nhân viên</t>
  </si>
  <si>
    <t>Không tạo vòng lặp cây phòng ban</t>
  </si>
  <si>
    <t>Đặt phòng ban làm cha của chính nó hoặc chọn phòng ban con làm cha</t>
  </si>
  <si>
    <t>Trả 422; cây tổ chức không bị vòng lặp</t>
  </si>
  <si>
    <t>Tổng hợp chi phí phòng ban</t>
  </si>
  <si>
    <t>Gọi GET /departments/cost-summary</t>
  </si>
  <si>
    <t>Số nhân sự và chi phí đúng theo phòng ban/tenant</t>
  </si>
  <si>
    <t>Chức danh &amp; nhóm chức danh</t>
  </si>
  <si>
    <t>Xem danh sách chức danh</t>
  </si>
  <si>
    <t>1. Đăng nhập tài khoản có quyền
2. Gọi GET /positions
3. Đổi trang, số bản ghi và bộ lọc</t>
  </si>
  <si>
    <t>Xem chi tiết chức danh</t>
  </si>
  <si>
    <t>1. Chọn một bản ghi tồn tại
2. Gọi GET /positions/{id}</t>
  </si>
  <si>
    <t>Tạo chức danh hợp lệ</t>
  </si>
  <si>
    <t>1. Mở form thêm mới
2. Nhập đầy đủ dữ liệu hợp lệ
3. Gọi POST /positions</t>
  </si>
  <si>
    <t>Bỏ trống tên chức danh khi tạo chức danh</t>
  </si>
  <si>
    <t>1. Mở form thêm mới
2. Bỏ trống tên chức danh
3. Bấm Lưu</t>
  </si>
  <si>
    <t>Không tạo dữ liệu; hiển thị validation cho tên chức danh</t>
  </si>
  <si>
    <t>Tạo chức danh với mã chức danh bị trùng</t>
  </si>
  <si>
    <t>1. Lấy mã chức danh đang tồn tại
2. Tạo bản ghi mới với cùng giá trị</t>
  </si>
  <si>
    <t>API trả 422; thông báo mã chức danh đã tồn tại</t>
  </si>
  <si>
    <t>Cập nhật chức danh</t>
  </si>
  <si>
    <t>1. Mở bản ghi tồn tại
2. Thay đổi dữ liệu hợp lệ
3. Gọi PATCH /positions/{id}</t>
  </si>
  <si>
    <t>Truy cập chức danh không tồn tại</t>
  </si>
  <si>
    <t>Gọi GET/PATCH /positions/999999999</t>
  </si>
  <si>
    <t>Xóa chức danh không có ràng buộc</t>
  </si>
  <si>
    <t>1. Tạo bản ghi thử không được tham chiếu
2. Gọi DELETE /positions/{id}</t>
  </si>
  <si>
    <t>Xóa chức danh đang được sử dụng</t>
  </si>
  <si>
    <t>1. Chọn chức danh có dữ liệu liên quan
2. Gọi DELETE /positions/{id}</t>
  </si>
  <si>
    <t>API trả 409 và nêu rõ ràng buộc: đang có nhân viên hoặc hợp đồng</t>
  </si>
  <si>
    <t>Xem danh sách nhóm chức danh</t>
  </si>
  <si>
    <t>1. Đăng nhập tài khoản có quyền
2. Gọi GET /job-families
3. Đổi trang, số bản ghi và bộ lọc</t>
  </si>
  <si>
    <t>Xem chi tiết nhóm chức danh</t>
  </si>
  <si>
    <t>1. Chọn một bản ghi tồn tại
2. Gọi GET /job-families/{id}</t>
  </si>
  <si>
    <t>Tạo nhóm chức danh hợp lệ</t>
  </si>
  <si>
    <t>1. Mở form thêm mới
2. Nhập đầy đủ dữ liệu hợp lệ
3. Gọi POST /job-families</t>
  </si>
  <si>
    <t>Bỏ trống mã và tên nhóm khi tạo nhóm chức danh</t>
  </si>
  <si>
    <t>1. Mở form thêm mới
2. Bỏ trống mã và tên nhóm
3. Bấm Lưu</t>
  </si>
  <si>
    <t>Không tạo dữ liệu; hiển thị validation cho mã và tên nhóm</t>
  </si>
  <si>
    <t>Tạo nhóm chức danh với mã nhóm bị trùng</t>
  </si>
  <si>
    <t>1. Lấy mã nhóm đang tồn tại
2. Tạo bản ghi mới với cùng giá trị</t>
  </si>
  <si>
    <t>API trả 422; thông báo mã nhóm đã tồn tại</t>
  </si>
  <si>
    <t>Cập nhật nhóm chức danh</t>
  </si>
  <si>
    <t>1. Mở bản ghi tồn tại
2. Thay đổi dữ liệu hợp lệ
3. Gọi PATCH /job-families/{id}</t>
  </si>
  <si>
    <t>Truy cập nhóm chức danh không tồn tại</t>
  </si>
  <si>
    <t>Gọi GET/PATCH /job-families/999999999</t>
  </si>
  <si>
    <t>Xóa nhóm chức danh không có ràng buộc</t>
  </si>
  <si>
    <t>1. Tạo bản ghi thử không được tham chiếu
2. Gọi DELETE /job-families/{id}</t>
  </si>
  <si>
    <t>Liên kết chức danh với job family</t>
  </si>
  <si>
    <t>Tạo/sửa position có job_family_id hợp lệ</t>
  </si>
  <si>
    <t>Lưu đúng liên kết và hiển thị trên danh sách</t>
  </si>
  <si>
    <t>Hồ sơ nhân sự</t>
  </si>
  <si>
    <t>Xem profile nhân viên</t>
  </si>
  <si>
    <t>GET /employees/{id}/profile</t>
  </si>
  <si>
    <t>Trả đúng profile đã hợp nhất và đúng quyền</t>
  </si>
  <si>
    <t>Cập nhật profile một phần</t>
  </si>
  <si>
    <t>PATCH /employees/{id}/profile chỉ gửi địa chỉ</t>
  </si>
  <si>
    <t>Địa chỉ đổi; các trường profile khác giữ nguyên</t>
  </si>
  <si>
    <t>Xem lịch sử công tác</t>
  </si>
  <si>
    <t>GET /employees/{id}/employment-histories</t>
  </si>
  <si>
    <t>Trả đúng thứ tự thời gian và loại biến động</t>
  </si>
  <si>
    <t>Không hard-delete lịch sử công tác</t>
  </si>
  <si>
    <t>Thử DELETE employment-histories đã phát sinh</t>
  </si>
  <si>
    <t>Hệ thống chặn hoặc giữ bản ghi lịch sử</t>
  </si>
  <si>
    <t>Thêm chứng chỉ</t>
  </si>
  <si>
    <t>POST /employees/{id}/certificates với dữ liệu hợp lệ</t>
  </si>
  <si>
    <t>Chứng chỉ liên kết đúng nhân viên và tenant</t>
  </si>
  <si>
    <t>Xóa chứng chỉ</t>
  </si>
  <si>
    <t>DELETE /employees/{id}/certificates/{certId}</t>
  </si>
  <si>
    <t>Chỉ xóa chứng chỉ thuộc nhân viên/tenant đang truy cập</t>
  </si>
  <si>
    <t>Xem danh sách người phụ thuộc</t>
  </si>
  <si>
    <t>1. Đăng nhập tài khoản có quyền
2. Gọi GET /dependents
3. Đổi trang, số bản ghi và bộ lọc</t>
  </si>
  <si>
    <t>Xem chi tiết người phụ thuộc</t>
  </si>
  <si>
    <t>1. Chọn một bản ghi tồn tại
2. Gọi GET /dependents/{id}</t>
  </si>
  <si>
    <t>Tạo người phụ thuộc hợp lệ</t>
  </si>
  <si>
    <t>1. Mở form thêm mới
2. Nhập đầy đủ dữ liệu hợp lệ
3. Gọi POST /dependents</t>
  </si>
  <si>
    <t>Bỏ trống họ tên và quan hệ khi tạo người phụ thuộc</t>
  </si>
  <si>
    <t>1. Mở form thêm mới
2. Bỏ trống họ tên và quan hệ
3. Bấm Lưu</t>
  </si>
  <si>
    <t>Không tạo dữ liệu; hiển thị validation cho họ tên và quan hệ</t>
  </si>
  <si>
    <t>Cập nhật người phụ thuộc</t>
  </si>
  <si>
    <t>1. Mở bản ghi tồn tại
2. Thay đổi dữ liệu hợp lệ
3. Gọi PATCH /dependents/{id}</t>
  </si>
  <si>
    <t>Truy cập người phụ thuộc không tồn tại</t>
  </si>
  <si>
    <t>Gọi GET/PATCH /dependents/999999999</t>
  </si>
  <si>
    <t>Xóa người phụ thuộc không có ràng buộc</t>
  </si>
  <si>
    <t>1. Tạo bản ghi thử không được tham chiếu
2. Gọi DELETE /dependents/{id}</t>
  </si>
  <si>
    <t>Số dư phép trên chi tiết nhân viên</t>
  </si>
  <si>
    <t>GET /employees/{id}/leave-balances</t>
  </si>
  <si>
    <t>Hiển thị đúng từng loại phép, số được cấp/đã dùng/còn lại</t>
  </si>
  <si>
    <t>Quyết định nhân sự</t>
  </si>
  <si>
    <t>Tạo đề xuất quyết định</t>
  </si>
  <si>
    <t>POST /personnel-decisions với loại quyết định và dữ liệu hiệu lực hợp lệ</t>
  </si>
  <si>
    <t>Tạo trạng thái chờ duyệt, chưa áp dụng vào hồ sơ</t>
  </si>
  <si>
    <t>Thiếu dữ liệu bắt buộc</t>
  </si>
  <si>
    <t>Tạo quyết định thiếu nhân viên/loại/ngày hiệu lực</t>
  </si>
  <si>
    <t>Trả 422 và không tạo</t>
  </si>
  <si>
    <t>Người đề xuất tự duyệt</t>
  </si>
  <si>
    <t>Dùng cùng tài khoản tạo và gọi approve</t>
  </si>
  <si>
    <t>Bị chặn theo nguyên tắc maker-checker</t>
  </si>
  <si>
    <t>Duyệt bởi người khác</t>
  </si>
  <si>
    <t>Tài khoản có quyền khác người tạo gọi approve</t>
  </si>
  <si>
    <t>Trạng thái approved; thay đổi nhân sự được áp dụng đúng ngày/rule</t>
  </si>
  <si>
    <t>Từ chối quyết định</t>
  </si>
  <si>
    <t>Gọi reject với lý do</t>
  </si>
  <si>
    <t>Trạng thái rejected; không thay đổi hồ sơ nhân viên</t>
  </si>
  <si>
    <t>Duyệt lại quyết định đã xử lý</t>
  </si>
  <si>
    <t>Approve/reject bản ghi đã approved/rejected</t>
  </si>
  <si>
    <t>Trả conflict/validation; không áp dụng lần hai</t>
  </si>
  <si>
    <t>Điều chuyển phòng ban</t>
  </si>
  <si>
    <t>Duyệt quyết định transfer có phòng ban mới</t>
  </si>
  <si>
    <t>Cập nhật tổ chức và thêm employment history</t>
  </si>
  <si>
    <t>Quyết định nghỉ việc</t>
  </si>
  <si>
    <t>Duyệt quyết định termination</t>
  </si>
  <si>
    <t>Cập nhật trạng thái đúng và không xóa lịch sử/hợp đồng cũ</t>
  </si>
  <si>
    <t>Đổi thông tin hồ sơ</t>
  </si>
  <si>
    <t>Tải danh mục trường được yêu cầu đổi</t>
  </si>
  <si>
    <t>GET /profile-change-requests/fields</t>
  </si>
  <si>
    <t>Chỉ trả các trường cho phép và nhãn/kiểu dữ liệu đúng</t>
  </si>
  <si>
    <t>Nhân viên tạo đơn đổi thông tin</t>
  </si>
  <si>
    <t>POST trường cho phép với giá trị mới và lý do</t>
  </si>
  <si>
    <t>Tạo pending cho chính nhân viên; chưa sửa profile ngay</t>
  </si>
  <si>
    <t>Yêu cầu đổi trường bị cấm</t>
  </si>
  <si>
    <t>Gửi field lương/role/tenant_id</t>
  </si>
  <si>
    <t>Trả 422/403; không thay đổi dữ liệu</t>
  </si>
  <si>
    <t>Duyệt đơn đổi thông tin</t>
  </si>
  <si>
    <t>Admin gọi approve đơn pending</t>
  </si>
  <si>
    <t>Profile cập nhật đúng trường; đơn chuyển approved; ghi audit</t>
  </si>
  <si>
    <t>Từ chối đơn</t>
  </si>
  <si>
    <t>Admin gọi reject kèm lý do</t>
  </si>
  <si>
    <t>Đơn rejected; profile giữ nguyên</t>
  </si>
  <si>
    <t>Nhân viên hủy đơn đang chờ</t>
  </si>
  <si>
    <t>Chủ đơn gọi cancel</t>
  </si>
  <si>
    <t>Đơn cancelled; không thể duyệt tiếp</t>
  </si>
  <si>
    <t>Người khác xem/hủy đơn</t>
  </si>
  <si>
    <t>Employee A truy cập đơn của employee B</t>
  </si>
  <si>
    <t>Bị chặn theo self-scope</t>
  </si>
  <si>
    <t>Hợp đồng</t>
  </si>
  <si>
    <t>Danh sách/lookup hợp đồng</t>
  </si>
  <si>
    <t>GET /contracts và /contracts/lookup với bộ lọc</t>
  </si>
  <si>
    <t>Trả đúng hợp đồng tenant và dữ liệu tối thiểu cho lookup</t>
  </si>
  <si>
    <t>Tạo hợp đồng hợp lệ</t>
  </si>
  <si>
    <t>POST /contracts có employee_id, loại, ngày và lương hợp lệ</t>
  </si>
  <si>
    <t>Tạo 201 ở trạng thái phù hợp; liên kết đúng nhân viên</t>
  </si>
  <si>
    <t>Thiếu employee_id</t>
  </si>
  <si>
    <t>Tạo hợp đồng không có nhân viên</t>
  </si>
  <si>
    <t>Trả 422 tại employee_id</t>
  </si>
  <si>
    <t>employee_id không tồn tại hoặc khác tenant</t>
  </si>
  <si>
    <t>Tạo/cập nhật bằng employee_id sai</t>
  </si>
  <si>
    <t>Trả 422/404; không tạo liên kết chéo tenant</t>
  </si>
  <si>
    <t>Nhập khoảng ngày không hợp lệ</t>
  </si>
  <si>
    <t>Không lưu; báo lỗi tại ngày hợp đồng</t>
  </si>
  <si>
    <t>Xem chi tiết hợp đồng</t>
  </si>
  <si>
    <t>GET /contracts/{id}</t>
  </si>
  <si>
    <t>Hiển thị điều khoản, nhân viên, tổ chức, trạng thái và thông tin ký</t>
  </si>
  <si>
    <t>Cập nhật một phần hợp đồng</t>
  </si>
  <si>
    <t>PATCH một điều khoản/meta</t>
  </si>
  <si>
    <t>Giữ nguyên dữ liệu chữ ký/audit không gửi lên</t>
  </si>
  <si>
    <t>Ghi lịch sử từng trường thay đổi</t>
  </si>
  <si>
    <t>Sửa nhiều trường hợp đồng</t>
  </si>
  <si>
    <t>Tạo contract change log riêng, before/after chính xác</t>
  </si>
  <si>
    <t>Kích hoạt hợp đồng</t>
  </si>
  <si>
    <t>POST /contracts/{id}/activate</t>
  </si>
  <si>
    <t>Chuyển active và đồng bộ phòng ban/chức danh theo hợp đồng</t>
  </si>
  <si>
    <t>Kích hoạt từ trạng thái không hợp lệ</t>
  </si>
  <si>
    <t>Activate hợp đồng đã active/terminated</t>
  </si>
  <si>
    <t>Từ chối chuyển trạng thái sai</t>
  </si>
  <si>
    <t>Hợp đồng inactive không đồng bộ tổ chức</t>
  </si>
  <si>
    <t>Sửa phòng ban/chức danh trên hợp đồng inactive</t>
  </si>
  <si>
    <t>Không thay đổi tổ chức hiện tại của nhân viên</t>
  </si>
  <si>
    <t>Chuyển inactive sang active</t>
  </si>
  <si>
    <t>Cập nhật trạng thái và thông tin tổ chức rồi kích hoạt</t>
  </si>
  <si>
    <t>Đồng bộ tổ chức đầy đủ một lần</t>
  </si>
  <si>
    <t>Chấm dứt hợp đồng</t>
  </si>
  <si>
    <t>POST /contracts/{id}/terminate với ngày/lý do</t>
  </si>
  <si>
    <t>Trạng thái terminated, giữ lịch sử và xử lý trạng thái nhân viên theo rule</t>
  </si>
  <si>
    <t>Xóa hợp đồng có lịch sử</t>
  </si>
  <si>
    <t>DELETE hợp đồng đã hoạt động/phát sinh log</t>
  </si>
  <si>
    <t>Không hard-delete dữ liệu lịch sử quan trọng</t>
  </si>
  <si>
    <t>Mẫu &amp; ký hợp đồng</t>
  </si>
  <si>
    <t>Xem danh sách mẫu hợp đồng</t>
  </si>
  <si>
    <t>1. Đăng nhập tài khoản có quyền
2. Gọi GET /contract-templates
3. Đổi trang, số bản ghi và bộ lọc</t>
  </si>
  <si>
    <t>Xem chi tiết mẫu hợp đồng</t>
  </si>
  <si>
    <t>1. Chọn một bản ghi tồn tại
2. Gọi GET /contract-templates/{id}</t>
  </si>
  <si>
    <t>Tạo mẫu hợp đồng hợp lệ</t>
  </si>
  <si>
    <t>1. Mở form thêm mới
2. Nhập đầy đủ dữ liệu hợp lệ
3. Gọi POST /contract-templates</t>
  </si>
  <si>
    <t>Bỏ trống tên và nội dung mẫu khi tạo mẫu hợp đồng</t>
  </si>
  <si>
    <t>1. Mở form thêm mới
2. Bỏ trống tên và nội dung mẫu
3. Bấm Lưu</t>
  </si>
  <si>
    <t>Không tạo dữ liệu; hiển thị validation cho tên và nội dung mẫu</t>
  </si>
  <si>
    <t>Cập nhật mẫu hợp đồng</t>
  </si>
  <si>
    <t>1. Mở bản ghi tồn tại
2. Thay đổi dữ liệu hợp lệ
3. Gọi PATCH /contract-templates/{id}</t>
  </si>
  <si>
    <t>Truy cập mẫu hợp đồng không tồn tại</t>
  </si>
  <si>
    <t>Gọi GET/PATCH /contract-templates/999999999</t>
  </si>
  <si>
    <t>Xóa mẫu hợp đồng không có ràng buộc</t>
  </si>
  <si>
    <t>1. Tạo bản ghi thử không được tham chiếu
2. Gọi DELETE /contract-templates/{id}</t>
  </si>
  <si>
    <t>Danh sách placeholder</t>
  </si>
  <si>
    <t>GET /contract-templates/placeholders</t>
  </si>
  <si>
    <t>Trả đúng placeholder nhân viên/hợp đồng và mô tả sử dụng</t>
  </si>
  <si>
    <t>Render hợp đồng từ mẫu</t>
  </si>
  <si>
    <t>GET /contracts/{id}/render</t>
  </si>
  <si>
    <t>Thay placeholder đúng, định dạng văn bản không vỡ và không còn biến chưa xử lý</t>
  </si>
  <si>
    <t>Gửi hợp đồng để ký</t>
  </si>
  <si>
    <t>POST /contracts/{id}/send-sign</t>
  </si>
  <si>
    <t>Chuyển đúng trạng thái, tạo thông báo/email và audit</t>
  </si>
  <si>
    <t>Yêu cầu OTP ký</t>
  </si>
  <si>
    <t>POST /contracts/{id}/request-otp</t>
  </si>
  <si>
    <t>OTP có hạn, gắn đúng hợp đồng/người ký và không trả OTP trong response production</t>
  </si>
  <si>
    <t>Ký bằng OTP hợp lệ</t>
  </si>
  <si>
    <t>POST /contracts/{id}/sign với OTP đúng còn hạn</t>
  </si>
  <si>
    <t>Ký thành công, lưu thời gian/IP/audit và vô hiệu OTP</t>
  </si>
  <si>
    <t>OTP sai/hết hạn/dùng lại</t>
  </si>
  <si>
    <t>Thử ký lần lượt với OTP sai, hết hạn và đã dùng</t>
  </si>
  <si>
    <t>Tất cả bị từ chối; hợp đồng không bị ký sai</t>
  </si>
  <si>
    <t>Người không phải bên ký</t>
  </si>
  <si>
    <t>Dùng token nhân viên khác ký hợp đồng</t>
  </si>
  <si>
    <t>Bị chặn 403/404</t>
  </si>
  <si>
    <t>Chấm công</t>
  </si>
  <si>
    <t>Check-in hợp lệ</t>
  </si>
  <si>
    <t>Employee gọi POST /attendances/check-in</t>
  </si>
  <si>
    <t>Tạo bản công đúng ngày, giờ, timezone và nguồn web/mobile</t>
  </si>
  <si>
    <t>Check-in lặp</t>
  </si>
  <si>
    <t>Gọi check-in nhiều lần cùng ca/ngày</t>
  </si>
  <si>
    <t>Không tạo bản ghi trùng; giữ giờ vào sớm nhất theo rule</t>
  </si>
  <si>
    <t>Check-out hợp lệ</t>
  </si>
  <si>
    <t>Đã check-in rồi gọi /attendances/check-out</t>
  </si>
  <si>
    <t>Cập nhật giờ ra và tổng giờ làm đúng</t>
  </si>
  <si>
    <t>Check-out khi chưa check-in</t>
  </si>
  <si>
    <t>Gọi check-out không có bản công mở</t>
  </si>
  <si>
    <t>Trả validation rõ ràng; không tạo dữ liệu sai</t>
  </si>
  <si>
    <t>Phân loại đi muộn/về sớm</t>
  </si>
  <si>
    <t>Chấm vào sau giờ ca và ra trước giờ ca</t>
  </si>
  <si>
    <t>late_minutes/early_minutes và trạng thái được tính đúng grace period</t>
  </si>
  <si>
    <t>Ca qua đêm</t>
  </si>
  <si>
    <t>Check-in trước nửa đêm và check-out sau nửa đêm</t>
  </si>
  <si>
    <t>Gắn cùng ca/ngày công và tính giờ dương chính xác</t>
  </si>
  <si>
    <t>Danh sách công theo nhân viên/ngày</t>
  </si>
  <si>
    <t>GET /attendances với bộ lọc</t>
  </si>
  <si>
    <t>Kết quả đúng employee/date/status và phân trang</t>
  </si>
  <si>
    <t>Xem chi tiết bản công</t>
  </si>
  <si>
    <t>GET /attendances/{id}</t>
  </si>
  <si>
    <t>Trả đầy đủ giờ vào/ra, ca, nguồn, trạng thái và meta</t>
  </si>
  <si>
    <t>Admin sửa trường chuẩn</t>
  </si>
  <si>
    <t>PATCH /attendances/{id} đổi check_in/check_out/status</t>
  </si>
  <si>
    <t>Cập nhật hợp lệ và tính lại số liệu phụ thuộc</t>
  </si>
  <si>
    <t>Admin sửa trường mở rộng</t>
  </si>
  <si>
    <t>PATCH trường không chuẩn được hỗ trợ trong meta</t>
  </si>
  <si>
    <t>Merge vào meta, không làm mất khóa cũ</t>
  </si>
  <si>
    <t>Dữ liệu giờ không hợp lệ</t>
  </si>
  <si>
    <t>PATCH giờ ra trước giờ vào hoặc sai định dạng</t>
  </si>
  <si>
    <t>Trả 422; dữ liệu cũ giữ nguyên</t>
  </si>
  <si>
    <t>Xác minh bản công</t>
  </si>
  <si>
    <t>POST /attendances/{id}/verify</t>
  </si>
  <si>
    <t>Chuyển verified đúng quyền và lưu người/thời gian xác minh</t>
  </si>
  <si>
    <t>Employee sửa/xác minh công</t>
  </si>
  <si>
    <t>Dùng token employee gọi PATCH/verify bản công</t>
  </si>
  <si>
    <t>Bị chặn nếu không có quyền</t>
  </si>
  <si>
    <t>Chấm công đồng thời</t>
  </si>
  <si>
    <t>Gửi nhiều request check-in/out gần như cùng lúc</t>
  </si>
  <si>
    <t>Không tạo duplicate hoặc mất giờ vào/ra</t>
  </si>
  <si>
    <t>Máy chấm công &amp; bridge</t>
  </si>
  <si>
    <t>Xem danh sách máy chấm công</t>
  </si>
  <si>
    <t>1. Đăng nhập tài khoản có quyền
2. Gọi GET /attendance-devices
3. Đổi trang, số bản ghi và bộ lọc</t>
  </si>
  <si>
    <t>Xem chi tiết máy chấm công</t>
  </si>
  <si>
    <t>1. Chọn một bản ghi tồn tại
2. Gọi GET /attendance-devices/{id}</t>
  </si>
  <si>
    <t>Tạo máy chấm công hợp lệ</t>
  </si>
  <si>
    <t>1. Mở form thêm mới
2. Nhập đầy đủ dữ liệu hợp lệ
3. Gọi POST /attendance-devices</t>
  </si>
  <si>
    <t>Bỏ trống tên/mã thiết bị khi tạo máy chấm công</t>
  </si>
  <si>
    <t>1. Mở form thêm mới
2. Bỏ trống tên/mã thiết bị
3. Bấm Lưu</t>
  </si>
  <si>
    <t>Không tạo dữ liệu; hiển thị validation cho tên/mã thiết bị</t>
  </si>
  <si>
    <t>Tạo máy chấm công với mã thiết bị bị trùng</t>
  </si>
  <si>
    <t>1. Lấy mã thiết bị đang tồn tại
2. Tạo bản ghi mới với cùng giá trị</t>
  </si>
  <si>
    <t>API trả 422; thông báo mã thiết bị đã tồn tại</t>
  </si>
  <si>
    <t>Cập nhật máy chấm công</t>
  </si>
  <si>
    <t>1. Mở bản ghi tồn tại
2. Thay đổi dữ liệu hợp lệ
3. Gọi PATCH /attendance-devices/{id}</t>
  </si>
  <si>
    <t>Truy cập máy chấm công không tồn tại</t>
  </si>
  <si>
    <t>Gọi GET/PATCH /attendance-devices/999999999</t>
  </si>
  <si>
    <t>Xóa máy chấm công không có ràng buộc</t>
  </si>
  <si>
    <t>1. Tạo bản ghi thử không được tham chiếu
2. Gọi DELETE /attendance-devices/{id}</t>
  </si>
  <si>
    <t>Xoay token thiết bị</t>
  </si>
  <si>
    <t>POST /attendance-devices/{id}/rotate-token</t>
  </si>
  <si>
    <t>Sinh token mới; token cũ hết hiệu lực; chỉ hiển thị token mới theo policy</t>
  </si>
  <si>
    <t>Punch bằng device token hợp lệ</t>
  </si>
  <si>
    <t>POST /internal/attendance/device-punch với x-device-token và punch hợp lệ</t>
  </si>
  <si>
    <t>Nhận dữ liệu, ánh xạ nhân viên và tạo/cập nhật attendance</t>
  </si>
  <si>
    <t>Punch thiếu/sai token</t>
  </si>
  <si>
    <t>Gửi request không token hoặc token sai</t>
  </si>
  <si>
    <t>Trả 403; không ghi log chấm công</t>
  </si>
  <si>
    <t>Ánh xạ enroll_id</t>
  </si>
  <si>
    <t>Gửi enroll_id khớp employees.profile.enroll_id</t>
  </si>
  <si>
    <t>Punch được gắn đúng nhân viên trong tenant của thiết bị</t>
  </si>
  <si>
    <t>enroll_id không tồn tại</t>
  </si>
  <si>
    <t>Gửi punch có enroll_id lạ</t>
  </si>
  <si>
    <t>Báo lỗi theo dòng hoặc bỏ qua có kiểm soát; không gắn nhầm nhân viên</t>
  </si>
  <si>
    <t>Replay cùng punch</t>
  </si>
  <si>
    <t>Gửi lại chính timestamp/device/enroll_id nhiều lần</t>
  </si>
  <si>
    <t>Idempotent; không làm sai giờ công hoặc tạo duplicate</t>
  </si>
  <si>
    <t>Nhiều punch trong ngày</t>
  </si>
  <si>
    <t>Gửi chuỗi punch vào/ra và punch phụ</t>
  </si>
  <si>
    <t>Backend giữ giờ vào sớm nhất, giờ ra muộn nhất theo rule</t>
  </si>
  <si>
    <t>Bridge kết nối ZKTeco cổng 4370</t>
  </si>
  <si>
    <t>Chạy tools/zk-bridge với DEVICE_IP/PORT đúng trên cùng LAN</t>
  </si>
  <si>
    <t>Đọc được log máy và poll theo POLL_MS</t>
  </si>
  <si>
    <t>Bridge đẩy dữ liệu về API</t>
  </si>
  <si>
    <t>Cấu hình API_BASE và DEVICE_TOKEN rồi chạy bridge</t>
  </si>
  <si>
    <t>Request đến đúng /internal/attendance/device-punch và nhận JSON thành công</t>
  </si>
  <si>
    <t>Bridge mất kết nối máy/API</t>
  </si>
  <si>
    <t>Ngắt mạng thiết bị hoặc backend trong một chu kỳ poll</t>
  </si>
  <si>
    <t>Bridge log lỗi an toàn, không thoát vĩnh viễn và thử lại chu kỳ sau</t>
  </si>
  <si>
    <t>Ánh xạ phương thức xác minh</t>
  </si>
  <si>
    <t>Gửi fingerprint/face/card và mã số từ SDK</t>
  </si>
  <si>
    <t>verify_method được chuẩn hóa và lưu đúng</t>
  </si>
  <si>
    <t>Điều chỉnh công</t>
  </si>
  <si>
    <t>Tạo đơn điều chỉnh công hợp lệ</t>
  </si>
  <si>
    <t>Employee POST /attendance-adjustments với ngày, giờ đề nghị và lý do</t>
  </si>
  <si>
    <t>Tạo pending cho chính nhân viên</t>
  </si>
  <si>
    <t>Ngày/giờ điều chỉnh không hợp lệ</t>
  </si>
  <si>
    <t>Gửi ngày tương lai ngoài rule hoặc giờ ra trước giờ vào</t>
  </si>
  <si>
    <t>Trả 422; không tạo đơn</t>
  </si>
  <si>
    <t>Duyệt đơn điều chỉnh</t>
  </si>
  <si>
    <t>Cập nhật attendance tương ứng, đơn approved và ghi audit</t>
  </si>
  <si>
    <t>Từ chối đơn điều chỉnh</t>
  </si>
  <si>
    <t>Admin gọi reject với lý do</t>
  </si>
  <si>
    <t>Đơn rejected; bản công không thay đổi</t>
  </si>
  <si>
    <t>Hủy đơn đang chờ</t>
  </si>
  <si>
    <t>Đơn cancelled; không duyệt được nữa</t>
  </si>
  <si>
    <t>Xử lý lại đơn đã kết thúc</t>
  </si>
  <si>
    <t>Approve/reject/cancel đơn không còn pending</t>
  </si>
  <si>
    <t>Trả conflict; không áp dụng hai lần</t>
  </si>
  <si>
    <t>Bảng công tháng</t>
  </si>
  <si>
    <t>Xem timesheet tháng</t>
  </si>
  <si>
    <t>GET /attendance/timesheet với tháng và nhân viên/phòng ban</t>
  </si>
  <si>
    <t>Ma trận ngày công đúng, tổng giờ/phút muộn/nghỉ khớp dữ liệu</t>
  </si>
  <si>
    <t>Tháng hoặc bộ lọc không hợp lệ</t>
  </si>
  <si>
    <t>Gửi month sai định dạng hoặc ID ngoài tenant</t>
  </si>
  <si>
    <t>Trả 422/404; không lộ dữ liệu</t>
  </si>
  <si>
    <t>Chạy tổng hợp công</t>
  </si>
  <si>
    <t>POST /attendance/summary/run cho kỳ hợp lệ</t>
  </si>
  <si>
    <t>Tạo/cập nhật summary idempotent và báo số bản ghi xử lý</t>
  </si>
  <si>
    <t>Recompute bản công</t>
  </si>
  <si>
    <t>POST /attendance/recompute sau khi đổi ca/ngày lễ</t>
  </si>
  <si>
    <t>Tính lại đúng, không nhân đôi dữ liệu</t>
  </si>
  <si>
    <t>Recompute kỳ đã khóa/chốt lương</t>
  </si>
  <si>
    <t>Chạy recompute cho kỳ không được sửa</t>
  </si>
  <si>
    <t>Bị chặn hoặc yêu cầu reopen theo rule</t>
  </si>
  <si>
    <t>Xuất/hiển thị tháng không dữ liệu</t>
  </si>
  <si>
    <t>Mở timesheet tenant/tháng trống</t>
  </si>
  <si>
    <t>Hiển thị empty state và tổng bằng 0</t>
  </si>
  <si>
    <t>Nghỉ phép &amp; ngày lễ</t>
  </si>
  <si>
    <t>Xem danh sách đơn nghỉ</t>
  </si>
  <si>
    <t>GET /leave-requests với role employee và admin</t>
  </si>
  <si>
    <t>Employee chỉ thấy đơn mình; admin thấy phạm vi được quản lý</t>
  </si>
  <si>
    <t>Tạo đơn nghỉ hợp lệ</t>
  </si>
  <si>
    <t>Chọn loại phép, ngày bắt đầu/kết thúc và lý do</t>
  </si>
  <si>
    <t>Tạo pending; tính đúng số ngày làm việc trừ lễ/cuối tuần</t>
  </si>
  <si>
    <t>Tạo đơn với khoảng ngày sai</t>
  </si>
  <si>
    <t>Trả 422</t>
  </si>
  <si>
    <t>Đơn nghỉ chồng lấn</t>
  </si>
  <si>
    <t>Tạo đơn trùng khoảng với đơn pending/approved</t>
  </si>
  <si>
    <t>Bị chặn hoặc cảnh báo theo rule</t>
  </si>
  <si>
    <t>Vượt số dư phép</t>
  </si>
  <si>
    <t>Tạo đơn có số ngày lớn hơn balance</t>
  </si>
  <si>
    <t>Bị chặn hoặc xử lý đúng cấu hình ứng phép</t>
  </si>
  <si>
    <t>Sửa/xóa đơn đang chờ</t>
  </si>
  <si>
    <t>Chủ đơn cập nhật rồi xóa đơn pending</t>
  </si>
  <si>
    <t>Cho phép theo rule, số dư chưa bị trừ sai</t>
  </si>
  <si>
    <t>Duyệt đơn nghỉ</t>
  </si>
  <si>
    <t>Quản lý có quyền gọi approve</t>
  </si>
  <si>
    <t>Đơn approved; số dư và transaction cập nhật đúng một lần</t>
  </si>
  <si>
    <t>Từ chối đơn nghỉ</t>
  </si>
  <si>
    <t>Gọi reject kèm lý do</t>
  </si>
  <si>
    <t>Đơn rejected; số dư không bị trừ</t>
  </si>
  <si>
    <t>Hủy đơn đã duyệt</t>
  </si>
  <si>
    <t>Chủ đơn gọi cancel theo thời hạn cho phép</t>
  </si>
  <si>
    <t>Trạng thái/số dư được hoàn đúng hoặc bị chặn theo rule</t>
  </si>
  <si>
    <t>Cộng phép định kỳ</t>
  </si>
  <si>
    <t>POST /leave/accrual/run hai lần cùng kỳ</t>
  </si>
  <si>
    <t>Cộng đúng policy và idempotent, có ledger</t>
  </si>
  <si>
    <t>Xem số dư phép nhân viên</t>
  </si>
  <si>
    <t>Tổng cấp, dùng, chờ và còn lại nhất quán</t>
  </si>
  <si>
    <t>Xem danh sách loại nghỉ phép</t>
  </si>
  <si>
    <t>1. Đăng nhập tài khoản có quyền
2. Gọi GET /leave-types
3. Đổi trang, số bản ghi và bộ lọc</t>
  </si>
  <si>
    <t>Xem chi tiết loại nghỉ phép</t>
  </si>
  <si>
    <t>1. Chọn một bản ghi tồn tại
2. Gọi GET /leave-types/{id}</t>
  </si>
  <si>
    <t>Tạo loại nghỉ phép hợp lệ</t>
  </si>
  <si>
    <t>1. Mở form thêm mới
2. Nhập đầy đủ dữ liệu hợp lệ
3. Gọi POST /leave-types</t>
  </si>
  <si>
    <t>Bỏ trống tên/mã loại phép khi tạo loại nghỉ phép</t>
  </si>
  <si>
    <t>1. Mở form thêm mới
2. Bỏ trống tên/mã loại phép
3. Bấm Lưu</t>
  </si>
  <si>
    <t>Không tạo dữ liệu; hiển thị validation cho tên/mã loại phép</t>
  </si>
  <si>
    <t>Tạo loại nghỉ phép với mã loại phép bị trùng</t>
  </si>
  <si>
    <t>1. Lấy mã loại phép đang tồn tại
2. Tạo bản ghi mới với cùng giá trị</t>
  </si>
  <si>
    <t>API trả 422; thông báo mã loại phép đã tồn tại</t>
  </si>
  <si>
    <t>Cập nhật loại nghỉ phép</t>
  </si>
  <si>
    <t>1. Mở bản ghi tồn tại
2. Thay đổi dữ liệu hợp lệ
3. Gọi PATCH /leave-types/{id}</t>
  </si>
  <si>
    <t>Truy cập loại nghỉ phép không tồn tại</t>
  </si>
  <si>
    <t>Gọi GET/PATCH /leave-types/999999999</t>
  </si>
  <si>
    <t>Xóa loại nghỉ phép không có ràng buộc</t>
  </si>
  <si>
    <t>1. Tạo bản ghi thử không được tham chiếu
2. Gọi DELETE /leave-types/{id}</t>
  </si>
  <si>
    <t>Xóa loại nghỉ phép đang được sử dụng</t>
  </si>
  <si>
    <t>1. Chọn loại nghỉ phép có dữ liệu liên quan
2. Gọi DELETE /leave-types/{id}</t>
  </si>
  <si>
    <t>API trả 409 và nêu rõ ràng buộc: đang có đơn, số dư hoặc giao dịch</t>
  </si>
  <si>
    <t>Xem trước ngày lễ Việt Nam</t>
  </si>
  <si>
    <t>GET /holidays/statutory-preview?year=2026</t>
  </si>
  <si>
    <t>Danh sách ngày lễ đúng năm và chưa ghi DB</t>
  </si>
  <si>
    <t>Seed ngày lễ Việt Nam</t>
  </si>
  <si>
    <t>POST /holidays/seed-vn hai lần cùng năm</t>
  </si>
  <si>
    <t>Tạo đúng ngày, không duplicate và tôn trọng tenant</t>
  </si>
  <si>
    <t>Ca &amp; lịch làm việc</t>
  </si>
  <si>
    <t>Xem danh sách loại ca</t>
  </si>
  <si>
    <t>1. Đăng nhập tài khoản có quyền
2. Gọi GET /shift-types
3. Đổi trang, số bản ghi và bộ lọc</t>
  </si>
  <si>
    <t>Xem chi tiết loại ca</t>
  </si>
  <si>
    <t>1. Chọn một bản ghi tồn tại
2. Gọi GET /shift-types/{id}</t>
  </si>
  <si>
    <t>Tạo loại ca hợp lệ</t>
  </si>
  <si>
    <t>1. Mở form thêm mới
2. Nhập đầy đủ dữ liệu hợp lệ
3. Gọi POST /shift-types</t>
  </si>
  <si>
    <t>Bỏ trống tên/giờ ca khi tạo loại ca</t>
  </si>
  <si>
    <t>1. Mở form thêm mới
2. Bỏ trống tên/giờ ca
3. Bấm Lưu</t>
  </si>
  <si>
    <t>Không tạo dữ liệu; hiển thị validation cho tên/giờ ca</t>
  </si>
  <si>
    <t>Tạo loại ca với mã ca bị trùng</t>
  </si>
  <si>
    <t>1. Lấy mã ca đang tồn tại
2. Tạo bản ghi mới với cùng giá trị</t>
  </si>
  <si>
    <t>API trả 422; thông báo mã ca đã tồn tại</t>
  </si>
  <si>
    <t>Cập nhật loại ca</t>
  </si>
  <si>
    <t>1. Mở bản ghi tồn tại
2. Thay đổi dữ liệu hợp lệ
3. Gọi PATCH /shift-types/{id}</t>
  </si>
  <si>
    <t>Truy cập loại ca không tồn tại</t>
  </si>
  <si>
    <t>Gọi GET/PATCH /shift-types/999999999</t>
  </si>
  <si>
    <t>Xóa loại ca không có ràng buộc</t>
  </si>
  <si>
    <t>1. Tạo bản ghi thử không được tham chiếu
2. Gọi DELETE /shift-types/{id}</t>
  </si>
  <si>
    <t>Xóa loại ca đang được sử dụng</t>
  </si>
  <si>
    <t>1. Chọn loại ca có dữ liệu liên quan
2. Gọi DELETE /shift-types/{id}</t>
  </si>
  <si>
    <t>API trả 409 và nêu rõ ràng buộc: đã có bản công hoặc phân ca</t>
  </si>
  <si>
    <t>Xem danh sách phân ca</t>
  </si>
  <si>
    <t>1. Đăng nhập tài khoản có quyền
2. Gọi GET /shift-assignments
3. Đổi trang, số bản ghi và bộ lọc</t>
  </si>
  <si>
    <t>Xem chi tiết phân ca</t>
  </si>
  <si>
    <t>1. Chọn một bản ghi tồn tại
2. Gọi GET /shift-assignments/{id}</t>
  </si>
  <si>
    <t>Tạo phân ca hợp lệ</t>
  </si>
  <si>
    <t>1. Mở form thêm mới
2. Nhập đầy đủ dữ liệu hợp lệ
3. Gọi POST /shift-assignments</t>
  </si>
  <si>
    <t>Bỏ trống nhân viên, ca và ngày khi tạo phân ca</t>
  </si>
  <si>
    <t>1. Mở form thêm mới
2. Bỏ trống nhân viên, ca và ngày
3. Bấm Lưu</t>
  </si>
  <si>
    <t>Không tạo dữ liệu; hiển thị validation cho nhân viên, ca và ngày</t>
  </si>
  <si>
    <t>Cập nhật phân ca</t>
  </si>
  <si>
    <t>1. Mở bản ghi tồn tại
2. Thay đổi dữ liệu hợp lệ
3. Gọi PATCH /shift-assignments/{id}</t>
  </si>
  <si>
    <t>Truy cập phân ca không tồn tại</t>
  </si>
  <si>
    <t>Gọi GET/PATCH /shift-assignments/999999999</t>
  </si>
  <si>
    <t>Xóa phân ca không có ràng buộc</t>
  </si>
  <si>
    <t>1. Tạo bản ghi thử không được tham chiếu
2. Gọi DELETE /shift-assignments/{id}</t>
  </si>
  <si>
    <t>Phân ca chồng lấn</t>
  </si>
  <si>
    <t>Gán hai ca trùng thời gian cho cùng nhân viên/ngày</t>
  </si>
  <si>
    <t>Bị chặn hoặc cảnh báo rõ ràng</t>
  </si>
  <si>
    <t>Sinh roster</t>
  </si>
  <si>
    <t>POST /shift-roster/generate với khoảng ngày/phòng ban</t>
  </si>
  <si>
    <t>Sinh lịch đúng quy tắc, không vượt phạm vi và không duplicate khi chạy lại</t>
  </si>
  <si>
    <t>Hiển thị bảng xếp ca</t>
  </si>
  <si>
    <t>Mở /shift-roster và đổi tuần/phòng ban</t>
  </si>
  <si>
    <t>Hiển thị đúng nhân viên, ca, ngày nghỉ và ca qua đêm</t>
  </si>
  <si>
    <t>Lịch làm việc cá nhân</t>
  </si>
  <si>
    <t>Employee mở /work-schedules</t>
  </si>
  <si>
    <t>Chỉ thấy lịch của mình và các thay đổi đã duyệt</t>
  </si>
  <si>
    <t>Tăng ca</t>
  </si>
  <si>
    <t>Xem danh sách và usage tăng ca</t>
  </si>
  <si>
    <t>GET /overtime-requests và /overtime-requests/usage</t>
  </si>
  <si>
    <t>Trả đúng phạm vi, tổng giờ theo ngày/tháng và giới hạn còn lại</t>
  </si>
  <si>
    <t>Tạo đơn tăng ca hợp lệ</t>
  </si>
  <si>
    <t>POST ngày, giờ bắt đầu/kết thúc và lý do</t>
  </si>
  <si>
    <t>Tạo pending, tính đúng số giờ</t>
  </si>
  <si>
    <t>Tăng ca vượt giới hạn</t>
  </si>
  <si>
    <t>Đăng ký vượt cap ngày/tháng hoặc chồng ca</t>
  </si>
  <si>
    <t>Trả 422; nêu giới hạn bị vi phạm</t>
  </si>
  <si>
    <t>Duyệt tăng ca</t>
  </si>
  <si>
    <t>Người có quyền gọi approve</t>
  </si>
  <si>
    <t>Approved một lần; dữ liệu được tính vào attendance/payroll đúng rule</t>
  </si>
  <si>
    <t>Người tạo tự duyệt/employee duyệt</t>
  </si>
  <si>
    <t>Dùng tài khoản không đúng thẩm quyền approve</t>
  </si>
  <si>
    <t>Trả 403/conflict</t>
  </si>
  <si>
    <t>Đổi ca &amp; phủ ca</t>
  </si>
  <si>
    <t>Tạo yêu cầu đổi ca</t>
  </si>
  <si>
    <t>POST /shift-swaps với ca nguồn/đích hợp lệ</t>
  </si>
  <si>
    <t>Tạo pending và thông báo bên liên quan</t>
  </si>
  <si>
    <t>Duyệt đổi ca</t>
  </si>
  <si>
    <t>POST /shift-swaps/{id}/approve</t>
  </si>
  <si>
    <t>Hoán đổi phân ca atomically, không trùng lịch</t>
  </si>
  <si>
    <t>Đổi ca không hợp lệ</t>
  </si>
  <si>
    <t>Đổi ca đã qua, không sở hữu hoặc gây chồng lấn</t>
  </si>
  <si>
    <t>Bị chặn; lịch cũ giữ nguyên</t>
  </si>
  <si>
    <t>Tạo yêu cầu phủ ca</t>
  </si>
  <si>
    <t>POST /shift-coverage-requests khi nhân viên vắng</t>
  </si>
  <si>
    <t>Tạo open request đúng ca và phạm vi người thay thế</t>
  </si>
  <si>
    <t>Gửi offer phủ ca</t>
  </si>
  <si>
    <t>POST /shift-coverage-requests/{id}/offer</t>
  </si>
  <si>
    <t>Tạo offer và thông báo người được đề nghị</t>
  </si>
  <si>
    <t>Chấp nhận offer</t>
  </si>
  <si>
    <t>POST /shift-coverage-offers/{id}/respond accept</t>
  </si>
  <si>
    <t>Phân ca được cập nhật đúng chuỗi giao ca; request hoàn tất</t>
  </si>
  <si>
    <t>Từ chối offer</t>
  </si>
  <si>
    <t>Respond reject</t>
  </si>
  <si>
    <t>Offer rejected; request vẫn mở nếu còn phương án</t>
  </si>
  <si>
    <t>Hai người cùng nhận một ca</t>
  </si>
  <si>
    <t>Gửi phản hồi accept gần đồng thời từ hai offer</t>
  </si>
  <si>
    <t>Chỉ một offer thành công; không phân ca trùng</t>
  </si>
  <si>
    <t>Hủy yêu cầu phủ ca</t>
  </si>
  <si>
    <t>Chủ thể có quyền gọi cancel khi chưa hoàn tất</t>
  </si>
  <si>
    <t>Request cancelled và các offer không còn nhận được</t>
  </si>
  <si>
    <t>Kỳ lương</t>
  </si>
  <si>
    <t>Danh sách kỳ lương</t>
  </si>
  <si>
    <t>GET /salary-periods với năm/trạng thái</t>
  </si>
  <si>
    <t>Trả đúng kỳ, trạng thái và tổng hợp tenant</t>
  </si>
  <si>
    <t>Tạo kỳ lương hợp lệ</t>
  </si>
  <si>
    <t>POST tháng/năm và phạm vi hợp lệ</t>
  </si>
  <si>
    <t>Tạo kỳ open, không trùng tháng/phạm vi</t>
  </si>
  <si>
    <t>Tạo kỳ lương trùng</t>
  </si>
  <si>
    <t>Tạo lại cùng tháng/năm/pháp nhân</t>
  </si>
  <si>
    <t>Trả 422/conflict</t>
  </si>
  <si>
    <t>Cập nhật/xóa kỳ open</t>
  </si>
  <si>
    <t>Sửa kỳ chưa chạy và xóa kỳ thử không có detail</t>
  </si>
  <si>
    <t>Thành công theo rule và ghi audit</t>
  </si>
  <si>
    <t>Chặn sửa/xóa kỳ đã submit/close</t>
  </si>
  <si>
    <t>PATCH/DELETE kỳ đã chốt</t>
  </si>
  <si>
    <t>Bị chặn; dữ liệu lương không đổi</t>
  </si>
  <si>
    <t>Chạy tính lương</t>
  </si>
  <si>
    <t>POST /payroll/run cho kỳ open có dữ liệu công/hợp đồng</t>
  </si>
  <si>
    <t>Tạo salary details/breakdowns đúng, idempotent và trả trạng thái job</t>
  </si>
  <si>
    <t>Chạy lương thiếu dữ liệu đầu vào</t>
  </si>
  <si>
    <t>Chạy kỳ có nhân viên thiếu hợp đồng/thành phần bắt buộc</t>
  </si>
  <si>
    <t>Báo danh sách lỗi; không chốt kết quả sai</t>
  </si>
  <si>
    <t>Theo dõi run status</t>
  </si>
  <si>
    <t>GET /payroll/run-status trong và sau khi chạy</t>
  </si>
  <si>
    <t>Trả trạng thái/progress/error nhất quán</t>
  </si>
  <si>
    <t>Chạy thưởng</t>
  </si>
  <si>
    <t>POST /payroll/bonus-run với kỳ và rule hợp lệ</t>
  </si>
  <si>
    <t>Tạo khoản thưởng đúng đối tượng, không duplicate khi retry</t>
  </si>
  <si>
    <t>Submit kỳ bởi payroll</t>
  </si>
  <si>
    <t>POST /salary-periods/{id}/submit</t>
  </si>
  <si>
    <t>Chuyển submitted; maker được ghi nhận</t>
  </si>
  <si>
    <t>Maker tự close kỳ</t>
  </si>
  <si>
    <t>Cùng tài khoản submit gọi close nếu rule yêu cầu checker khác</t>
  </si>
  <si>
    <t>Bị chặn maker-checker</t>
  </si>
  <si>
    <t>Close kỳ bởi admin/checker</t>
  </si>
  <si>
    <t>Tài khoản phù hợp gọi close kỳ submitted</t>
  </si>
  <si>
    <t>Kỳ closed; khóa chỉnh sửa chi tiết</t>
  </si>
  <si>
    <t>Reopen kỳ</t>
  </si>
  <si>
    <t>Gọi reopen theo đúng quyền/lý do</t>
  </si>
  <si>
    <t>Kỳ trở lại trạng thái cho phép; ghi audit đầy đủ</t>
  </si>
  <si>
    <t>Tính thuế/bảo hiểm và làm tròn</t>
  </si>
  <si>
    <t>Dùng bộ dữ liệu ở các ngưỡng lương/thuế</t>
  </si>
  <si>
    <t>Khấu trừ, thu nhập chịu thuế và net salary đúng cấu hình</t>
  </si>
  <si>
    <t>Liên kết hợp đồng hiệu lực</t>
  </si>
  <si>
    <t>Chạy lương nhân viên có nhiều hợp đồng theo thời gian</t>
  </si>
  <si>
    <t>Chọn đúng hợp đồng hiệu lực trong kỳ</t>
  </si>
  <si>
    <t>Chi tiết &amp; thành phần lương</t>
  </si>
  <si>
    <t>Xem danh sách thành phần lương</t>
  </si>
  <si>
    <t>1. Đăng nhập tài khoản có quyền
2. Gọi GET /salary-components
3. Đổi trang, số bản ghi và bộ lọc</t>
  </si>
  <si>
    <t>Xem chi tiết thành phần lương</t>
  </si>
  <si>
    <t>1. Chọn một bản ghi tồn tại
2. Gọi GET /salary-components/{id}</t>
  </si>
  <si>
    <t>Tạo thành phần lương hợp lệ</t>
  </si>
  <si>
    <t>1. Mở form thêm mới
2. Nhập đầy đủ dữ liệu hợp lệ
3. Gọi POST /salary-components</t>
  </si>
  <si>
    <t>Bỏ trống tên/mã và loại khi tạo thành phần lương</t>
  </si>
  <si>
    <t>1. Mở form thêm mới
2. Bỏ trống tên/mã và loại
3. Bấm Lưu</t>
  </si>
  <si>
    <t>Không tạo dữ liệu; hiển thị validation cho tên/mã và loại</t>
  </si>
  <si>
    <t>Tạo thành phần lương với mã thành phần bị trùng</t>
  </si>
  <si>
    <t>1. Lấy mã thành phần đang tồn tại
2. Tạo bản ghi mới với cùng giá trị</t>
  </si>
  <si>
    <t>API trả 422; thông báo mã thành phần đã tồn tại</t>
  </si>
  <si>
    <t>Cập nhật thành phần lương</t>
  </si>
  <si>
    <t>1. Mở bản ghi tồn tại
2. Thay đổi dữ liệu hợp lệ
3. Gọi PATCH /salary-components/{id}</t>
  </si>
  <si>
    <t>Truy cập thành phần lương không tồn tại</t>
  </si>
  <si>
    <t>Gọi GET/PATCH /salary-components/999999999</t>
  </si>
  <si>
    <t>Xóa thành phần lương không có ràng buộc</t>
  </si>
  <si>
    <t>1. Tạo bản ghi thử không được tham chiếu
2. Gọi DELETE /salary-components/{id}</t>
  </si>
  <si>
    <t>Tạo salary detail hợp lệ</t>
  </si>
  <si>
    <t>POST /salary-details với kỳ, nhân viên và số tiền hợp lệ</t>
  </si>
  <si>
    <t>Tạo 201, liên kết đúng period/employee/contract</t>
  </si>
  <si>
    <t>Salary detail thiếu/sai dữ liệu</t>
  </si>
  <si>
    <t>Gửi thiếu employee/period hoặc số tiền âm sai rule</t>
  </si>
  <si>
    <t>Cập nhật salary detail</t>
  </si>
  <si>
    <t>PATCH /salary-details/{id}</t>
  </si>
  <si>
    <t>Cập nhật khi kỳ cho phép; tổng tiền được tính lại</t>
  </si>
  <si>
    <t>Xóa salary detail</t>
  </si>
  <si>
    <t>DELETE detail ở kỳ open và kỳ closed</t>
  </si>
  <si>
    <t>Kỳ open xử lý theo rule; kỳ closed bị chặn</t>
  </si>
  <si>
    <t>Xem/tải phiếu lương</t>
  </si>
  <si>
    <t>GET /salary-details/{id}/payslip bằng admin và chính employee</t>
  </si>
  <si>
    <t>Trả đúng nhân viên, kỳ, breakdown; người khác bị chặn</t>
  </si>
  <si>
    <t>Bảo mật dữ liệu lương</t>
  </si>
  <si>
    <t>Employee A gọi detail/payslip của employee B</t>
  </si>
  <si>
    <t>Trả 403/404, không lộ số tiền</t>
  </si>
  <si>
    <t>Điều chỉnh và breakdown lương</t>
  </si>
  <si>
    <t>Tạo allowance/deduction/adjustment rồi chạy lại kỳ</t>
  </si>
  <si>
    <t>Gross, deduction, tax, insurance và net khớp từng thành phần</t>
  </si>
  <si>
    <t>Công khoán sản phẩm</t>
  </si>
  <si>
    <t>Danh sách công khoán</t>
  </si>
  <si>
    <t>GET /piece-rate-entries theo kỳ/nhân viên</t>
  </si>
  <si>
    <t>Trả đúng sản lượng, đơn giá, thành tiền</t>
  </si>
  <si>
    <t>Tạo công khoán hợp lệ</t>
  </si>
  <si>
    <t>POST sản phẩm, số lượng, đơn giá, nhân viên và ngày</t>
  </si>
  <si>
    <t>Tạo thành công; amount tính đúng</t>
  </si>
  <si>
    <t>Số lượng/đơn giá không hợp lệ</t>
  </si>
  <si>
    <t>Gửi số âm, 0 hoặc dữ liệu không phải số</t>
  </si>
  <si>
    <t>Xóa công khoán</t>
  </si>
  <si>
    <t>DELETE entry ở kỳ open và closed</t>
  </si>
  <si>
    <t>Chỉ kỳ cho phép được xóa; tổng lương cập nhật đúng</t>
  </si>
  <si>
    <t>Đưa công khoán vào lương</t>
  </si>
  <si>
    <t>Chạy payroll sau khi có entry</t>
  </si>
  <si>
    <t>Khoản công khoán xuất hiện đúng một lần trong breakdown</t>
  </si>
  <si>
    <t>Tin tuyển dụng</t>
  </si>
  <si>
    <t>Danh sách tin nội bộ</t>
  </si>
  <si>
    <t>GET /recruitment-posts với trạng thái/vị trí</t>
  </si>
  <si>
    <t>Trả đúng draft/published/closed trong tenant</t>
  </si>
  <si>
    <t>Tạo tin có JD hợp lệ</t>
  </si>
  <si>
    <t>POST tiêu đề, vị trí, JD, yêu cầu, hạn nộp</t>
  </si>
  <si>
    <t>Tạo draft và liên kết recruitment position</t>
  </si>
  <si>
    <t>Thiếu JD/trường bắt buộc</t>
  </si>
  <si>
    <t>Tạo tin thiếu tiêu đề, vị trí hoặc nội dung JD</t>
  </si>
  <si>
    <t>Cập nhật tin draft</t>
  </si>
  <si>
    <t>PATCH nội dung JD và tiêu chí</t>
  </si>
  <si>
    <t>Cập nhật thành công; slug/link không bị sai</t>
  </si>
  <si>
    <t>Publish tin</t>
  </si>
  <si>
    <t>POST /recruitment-posts/{id}/publish</t>
  </si>
  <si>
    <t>Chuyển published, tạo slug công khai và xuất hiện ở /careers</t>
  </si>
  <si>
    <t>Publish tin thiếu vị trí/JD</t>
  </si>
  <si>
    <t>Publish draft không đủ dữ liệu</t>
  </si>
  <si>
    <t>Bị chặn và nêu dữ liệu cần bổ sung</t>
  </si>
  <si>
    <t>Đóng tin</t>
  </si>
  <si>
    <t>POST /recruitment-posts/{id}/close</t>
  </si>
  <si>
    <t>Chuyển closed và không nhận hồ sơ mới</t>
  </si>
  <si>
    <t>Xóa tin có ứng viên</t>
  </si>
  <si>
    <t>DELETE tin/vị trí đang có ứng viên chưa kết thúc</t>
  </si>
  <si>
    <t>Bị chặn 409 hoặc giữ liên kết lịch sử</t>
  </si>
  <si>
    <t>Landing tuyển dụng</t>
  </si>
  <si>
    <t>Xem danh sách tin công khai</t>
  </si>
  <si>
    <t>Mở /careers không đăng nhập</t>
  </si>
  <si>
    <t>Chỉ hiển thị tin published, còn hạn và đúng tenant/domain</t>
  </si>
  <si>
    <t>Xem popup chi tiết JD</t>
  </si>
  <si>
    <t>Bấm Chi tiết trên một tin</t>
  </si>
  <si>
    <t>Popup hiển thị đầy đủ JD, yêu cầu, quyền lợi; đóng/mở và scroll đúng</t>
  </si>
  <si>
    <t>Mở tin bằng slug</t>
  </si>
  <si>
    <t>GET /public/recruitment-posts/{slug}</t>
  </si>
  <si>
    <t>Trả đúng tin published; draft/closed/slug sai trả 404</t>
  </si>
  <si>
    <t>Nộp CV hợp lệ</t>
  </si>
  <si>
    <t>Chọn tin, nhập họ tên/email/điện thoại, tải PDF/DOC/DOCX &lt;=10MB và gửi</t>
  </si>
  <si>
    <t>Tạo ứng viên, lưu CV và trả kết quả AI nếu dịch vụ sẵn sàng</t>
  </si>
  <si>
    <t>Thiếu CV hoặc thông tin bắt buộc</t>
  </si>
  <si>
    <t>Submit form thiếu file, tên hoặc email</t>
  </si>
  <si>
    <t>Validation tại form/API; không tạo ứng viên</t>
  </si>
  <si>
    <t>CV sai định dạng/quá 10MB</t>
  </si>
  <si>
    <t>Tải file exe/txt hoặc file vượt giới hạn</t>
  </si>
  <si>
    <t>Trả 422 với thông báo đúng; không lưu file</t>
  </si>
  <si>
    <t>Nộp vào tin không tồn tại/đã đóng</t>
  </si>
  <si>
    <t>Sửa post slug/id rồi submit</t>
  </si>
  <si>
    <t>Trả 404/422; không tạo ứng viên</t>
  </si>
  <si>
    <t>Giới hạn spam nộp hồ sơ</t>
  </si>
  <si>
    <t>Gửi quá 5 request trong một phút từ cùng nguồn</t>
  </si>
  <si>
    <t>Endpoint trả 429</t>
  </si>
  <si>
    <t>Kéo thả và thay CV</t>
  </si>
  <si>
    <t>Kéo thả file hợp lệ, sau đó chọn file khác</t>
  </si>
  <si>
    <t>Tên/kích thước hiển thị đúng và chỉ file cuối được gửi</t>
  </si>
  <si>
    <t>Responsive landing</t>
  </si>
  <si>
    <t>Kiểm tra desktop, tablet và mobile</t>
  </si>
  <si>
    <t>Danh sách, modal JD và form nộp CV dùng được, không tràn ngang</t>
  </si>
  <si>
    <t>Ứng viên &amp; AI CV</t>
  </si>
  <si>
    <t>Danh sách Kanban ứng viên</t>
  </si>
  <si>
    <t>Mở /recruitment và lọc theo vị trí/giai đoạn</t>
  </si>
  <si>
    <t>Ứng viên ở đúng cột, số lượng và AI score hiển thị đúng</t>
  </si>
  <si>
    <t>Tạo ứng viên nội bộ</t>
  </si>
  <si>
    <t>POST /recruitment-candidates với thông tin hợp lệ</t>
  </si>
  <si>
    <t>Tạo thành công trong tenant và stage mặc định</t>
  </si>
  <si>
    <t>Cập nhật/xóa ứng viên</t>
  </si>
  <si>
    <t>PATCH dữ liệu rồi DELETE ứng viên không có ràng buộc</t>
  </si>
  <si>
    <t>Cập nhật/xóa đúng rule và giữ lịch sử cần thiết</t>
  </si>
  <si>
    <t>Upload CV có xác thực</t>
  </si>
  <si>
    <t>POST /recruitment-candidates/{id}/cv với file hợp lệ</t>
  </si>
  <si>
    <t>Lưu private storage, cập nhật cv_path và tạo job AI</t>
  </si>
  <si>
    <t>Upload CV không token</t>
  </si>
  <si>
    <t>Gọi endpoint CV không Authorization</t>
  </si>
  <si>
    <t>Trả 401; không lưu file</t>
  </si>
  <si>
    <t>Download CV đúng quyền</t>
  </si>
  <si>
    <t>GET /recruitment-candidates/{id}/cv bằng HR</t>
  </si>
  <si>
    <t>Tải đúng tên/file; tenant khác hoặc role sai bị chặn</t>
  </si>
  <si>
    <t>TC322</t>
  </si>
  <si>
    <t>Tiến giai đoạn hợp lệ</t>
  </si>
  <si>
    <t>POST /recruitment-candidates/{id}/advance</t>
  </si>
  <si>
    <t>Chuyển đúng next stage và ghi lịch sử</t>
  </si>
  <si>
    <t>TC323</t>
  </si>
  <si>
    <t>Tiến giai đoạn không hợp lệ</t>
  </si>
  <si>
    <t>Bỏ qua giai đoạn hoặc advance ứng viên rejected/hired</t>
  </si>
  <si>
    <t>Bị chặn; stage không đổi</t>
  </si>
  <si>
    <t>TC324</t>
  </si>
  <si>
    <t>Kéo thả Kanban đồng thời</t>
  </si>
  <si>
    <t>Hai request cập nhật stage gần đồng thời</t>
  </si>
  <si>
    <t>Không mất cập nhật hoặc tạo trạng thái mâu thuẫn</t>
  </si>
  <si>
    <t>TC325</t>
  </si>
  <si>
    <t>Manager review AI score</t>
  </si>
  <si>
    <t>PATCH manager-review với điểm/nhận xét hợp lệ</t>
  </si>
  <si>
    <t>Lưu đánh giá, so sánh AI-human và gửi feedback service</t>
  </si>
  <si>
    <t>TC326</t>
  </si>
  <si>
    <t>Điểm manager ngoài phạm vi</t>
  </si>
  <si>
    <t>Gửi điểm âm, &gt;100 hoặc sai kiểu</t>
  </si>
  <si>
    <t>TC327</t>
  </si>
  <si>
    <t>Retry AI scoring</t>
  </si>
  <si>
    <t>POST /ai-score/retry cho job failed</t>
  </si>
  <si>
    <t>Đặt lại pending, xóa lỗi cũ và xử lý lại đúng một lần</t>
  </si>
  <si>
    <t>TC328</t>
  </si>
  <si>
    <t>Reject ứng viên</t>
  </si>
  <si>
    <t>POST /recruitment-candidates/{id}/reject với lý do</t>
  </si>
  <si>
    <t>Chuyển rejected; không thể advance/hire sai luồng</t>
  </si>
  <si>
    <t>TC329</t>
  </si>
  <si>
    <t>Hire ứng viên</t>
  </si>
  <si>
    <t>POST /recruitment-candidates/{id}/hire ở stage hợp lệ</t>
  </si>
  <si>
    <t>Chuyển hired và tạo/liên kết nhân viên đúng một lần</t>
  </si>
  <si>
    <t>TC330</t>
  </si>
  <si>
    <t>Thống kê feedback AI</t>
  </si>
  <si>
    <t>GET /recruitment-ai/feedback-stats</t>
  </si>
  <si>
    <t>Trả số mẫu, chênh lệch và thống kê đúng tenant</t>
  </si>
  <si>
    <t>TC331</t>
  </si>
  <si>
    <t>Resume backend</t>
  </si>
  <si>
    <t>Health resume-backend qua Tailscale</t>
  </si>
  <si>
    <t>Từ VPS gọi GET http://&lt;TAILSCALE_IP&gt;:8000/health</t>
  </si>
  <si>
    <t>Trả nhanh 200; firewall chỉ cho phép mạng Tailscale cần thiết</t>
  </si>
  <si>
    <t>TC332</t>
  </si>
  <si>
    <t>Screen một CV</t>
  </si>
  <si>
    <t>POST /screen với file PDF/DOCX và jd_text</t>
  </si>
  <si>
    <t>Trả job_id và candidate có score/skills hợp lệ</t>
  </si>
  <si>
    <t>TC333</t>
  </si>
  <si>
    <t>Screen nhiều CV</t>
  </si>
  <si>
    <t>POST /screen/batch với nhiều file</t>
  </si>
  <si>
    <t>Xử lý đủ file, ranking ổn định và lỗi từng file không làm hỏng cả batch</t>
  </si>
  <si>
    <t>TC334</t>
  </si>
  <si>
    <t>CV PDF scan/không có text</t>
  </si>
  <si>
    <t>Gửi PDF ảnh hoặc file ít nội dung</t>
  </si>
  <si>
    <t>Trả kết quả có kiểm soát hoặc lỗi rõ ràng, không treo 120 giây vô hạn</t>
  </si>
  <si>
    <t>TC335</t>
  </si>
  <si>
    <t>JD rỗng hoặc quá dài</t>
  </si>
  <si>
    <t>Gọi /screen với jd_text rỗng và cực dài</t>
  </si>
  <si>
    <t>Validation/giới hạn kích thước phù hợp; không chấm điểm vô nghĩa</t>
  </si>
  <si>
    <t>TC336</t>
  </si>
  <si>
    <t>Kết quả score trong phạm vi</t>
  </si>
  <si>
    <t>Chấm CV khớp cao và CV không liên quan</t>
  </si>
  <si>
    <t>Score nằm 0..100 ở HRM; matched/missing skills hợp lý</t>
  </si>
  <si>
    <t>TC337</t>
  </si>
  <si>
    <t>Resume service không khả dụng</t>
  </si>
  <si>
    <t>Tắt service hoặc chặn route rồi nộp CV</t>
  </si>
  <si>
    <t>Laravel trả thông báo 'Dịch vụ chấm CV hiện không khả dụng'; hồ sơ không bị ghi dở dang sai</t>
  </si>
  <si>
    <t>TC338</t>
  </si>
  <si>
    <t>Response resume sai schema</t>
  </si>
  <si>
    <t>Mock /screen trả JSON thiếu candidate</t>
  </si>
  <si>
    <t>Laravel từ chối kết quả và ghi log an toàn</t>
  </si>
  <si>
    <t>TC339</t>
  </si>
  <si>
    <t>Feedback AI-human</t>
  </si>
  <si>
    <t>POST /feedback sau manager review</t>
  </si>
  <si>
    <t>Lưu feedback đúng candidate/JD, không lộ CV và trả thống kê được</t>
  </si>
  <si>
    <t>TC340</t>
  </si>
  <si>
    <t>Timeout file lớn</t>
  </si>
  <si>
    <t>Mock xử lý gần/vượt timeout 120 giây</t>
  </si>
  <si>
    <t>Request kết thúc có kiểm soát, UI hết loading và cho phép thử lại</t>
  </si>
  <si>
    <t>TC341</t>
  </si>
  <si>
    <t>Phỏng vấn</t>
  </si>
  <si>
    <t>Xem danh sách lịch phỏng vấn</t>
  </si>
  <si>
    <t>1. Đăng nhập tài khoản có quyền
2. Gọi GET /interviews
3. Đổi trang, số bản ghi và bộ lọc</t>
  </si>
  <si>
    <t>TC342</t>
  </si>
  <si>
    <t>Xem chi tiết lịch phỏng vấn</t>
  </si>
  <si>
    <t>1. Chọn một bản ghi tồn tại
2. Gọi GET /interviews/{id}</t>
  </si>
  <si>
    <t>TC343</t>
  </si>
  <si>
    <t>Tạo lịch phỏng vấn hợp lệ</t>
  </si>
  <si>
    <t>1. Mở form thêm mới
2. Nhập đầy đủ dữ liệu hợp lệ
3. Gọi POST /interviews</t>
  </si>
  <si>
    <t>TC344</t>
  </si>
  <si>
    <t>Bỏ trống ứng viên và thời gian khi tạo lịch phỏng vấn</t>
  </si>
  <si>
    <t>1. Mở form thêm mới
2. Bỏ trống ứng viên và thời gian
3. Bấm Lưu</t>
  </si>
  <si>
    <t>Không tạo dữ liệu; hiển thị validation cho ứng viên và thời gian</t>
  </si>
  <si>
    <t>TC345</t>
  </si>
  <si>
    <t>Cập nhật lịch phỏng vấn</t>
  </si>
  <si>
    <t>1. Mở bản ghi tồn tại
2. Thay đổi dữ liệu hợp lệ
3. Gọi PATCH /interviews/{id}</t>
  </si>
  <si>
    <t>TC346</t>
  </si>
  <si>
    <t>Truy cập lịch phỏng vấn không tồn tại</t>
  </si>
  <si>
    <t>Gọi GET/PATCH /interviews/999999999</t>
  </si>
  <si>
    <t>TC347</t>
  </si>
  <si>
    <t>Xóa lịch phỏng vấn không có ràng buộc</t>
  </si>
  <si>
    <t>1. Tạo bản ghi thử không được tham chiếu
2. Gọi DELETE /interviews/{id}</t>
  </si>
  <si>
    <t>TC348</t>
  </si>
  <si>
    <t>Lịch phỏng vấn ở quá khứ</t>
  </si>
  <si>
    <t>Tạo lịch mới với thời gian đã qua</t>
  </si>
  <si>
    <t>TC349</t>
  </si>
  <si>
    <t>Xung đột lịch người phỏng vấn</t>
  </si>
  <si>
    <t>Tạo hai lịch trùng giờ cho cùng interviewer</t>
  </si>
  <si>
    <t>Bị chặn hoặc cảnh báo xung đột</t>
  </si>
  <si>
    <t>TC350</t>
  </si>
  <si>
    <t>Đánh giá của quản lý</t>
  </si>
  <si>
    <t>PATCH /interviews/{id}/manager-review với điểm/nhận xét</t>
  </si>
  <si>
    <t>Lưu review đúng người, đúng tenant và cập nhật candidate flow</t>
  </si>
  <si>
    <t>TC351</t>
  </si>
  <si>
    <t>Xóa lịch đã hoàn thành</t>
  </si>
  <si>
    <t>DELETE interview đã có review/kết quả</t>
  </si>
  <si>
    <t>Giữ lịch sử hoặc chặn theo rule</t>
  </si>
  <si>
    <t>TC352</t>
  </si>
  <si>
    <t>Onboarding/Offboarding</t>
  </si>
  <si>
    <t>Danh sách checklist</t>
  </si>
  <si>
    <t>GET /onboarding-checklists với loại/trạng thái/nhân viên</t>
  </si>
  <si>
    <t>Trả đúng checklist và tiến độ task</t>
  </si>
  <si>
    <t>TC353</t>
  </si>
  <si>
    <t>Tạo checklist</t>
  </si>
  <si>
    <t>POST nhân viên, loại onboarding/offboarding và template/task</t>
  </si>
  <si>
    <t>Tạo checklist cùng các task đúng tenant</t>
  </si>
  <si>
    <t>TC354</t>
  </si>
  <si>
    <t>Thêm task</t>
  </si>
  <si>
    <t>POST /onboarding-checklists/{id}/tasks</t>
  </si>
  <si>
    <t>Task xuất hiện, thứ tự và người phụ trách đúng</t>
  </si>
  <si>
    <t>TC355</t>
  </si>
  <si>
    <t>Cập nhật task</t>
  </si>
  <si>
    <t>PATCH task trạng thái completed và ghi chú</t>
  </si>
  <si>
    <t>Tiến độ checklist cập nhật chính xác</t>
  </si>
  <si>
    <t>TC356</t>
  </si>
  <si>
    <t>Xóa task</t>
  </si>
  <si>
    <t>DELETE task chưa hoàn thành và task bắt buộc</t>
  </si>
  <si>
    <t>Xử lý theo rule; không làm sai tiến độ</t>
  </si>
  <si>
    <t>TC357</t>
  </si>
  <si>
    <t>Hoàn tất checklist</t>
  </si>
  <si>
    <t>PATCH status khi tất cả task bắt buộc đã xong</t>
  </si>
  <si>
    <t>Checklist completed và ghi thời gian</t>
  </si>
  <si>
    <t>TC358</t>
  </si>
  <si>
    <t>Hoàn tất khi còn task bắt buộc</t>
  </si>
  <si>
    <t>Cố chuyển completed khi task bắt buộc chưa xong</t>
  </si>
  <si>
    <t>Bị chặn và liệt kê task còn thiếu</t>
  </si>
  <si>
    <t>TC359</t>
  </si>
  <si>
    <t>Xóa checklist có lịch sử</t>
  </si>
  <si>
    <t>DELETE checklist đang chạy/đã hoàn tất</t>
  </si>
  <si>
    <t>Chỉ cho phép theo rule, không mất audit quan trọng</t>
  </si>
  <si>
    <t>TC360</t>
  </si>
  <si>
    <t>Tài sản</t>
  </si>
  <si>
    <t>Xem danh sách tài sản</t>
  </si>
  <si>
    <t>1. Đăng nhập tài khoản có quyền
2. Gọi GET /assets
3. Đổi trang, số bản ghi và bộ lọc</t>
  </si>
  <si>
    <t>TC361</t>
  </si>
  <si>
    <t>Xem chi tiết tài sản</t>
  </si>
  <si>
    <t>1. Chọn một bản ghi tồn tại
2. Gọi GET /assets/{id}</t>
  </si>
  <si>
    <t>TC362</t>
  </si>
  <si>
    <t>Tạo tài sản hợp lệ</t>
  </si>
  <si>
    <t>1. Mở form thêm mới
2. Nhập đầy đủ dữ liệu hợp lệ
3. Gọi POST /assets</t>
  </si>
  <si>
    <t>TC363</t>
  </si>
  <si>
    <t>Bỏ trống mã/tên tài sản khi tạo tài sản</t>
  </si>
  <si>
    <t>1. Mở form thêm mới
2. Bỏ trống mã/tên tài sản
3. Bấm Lưu</t>
  </si>
  <si>
    <t>Không tạo dữ liệu; hiển thị validation cho mã/tên tài sản</t>
  </si>
  <si>
    <t>TC364</t>
  </si>
  <si>
    <t>Tạo tài sản với mã tài sản bị trùng</t>
  </si>
  <si>
    <t>1. Lấy mã tài sản đang tồn tại
2. Tạo bản ghi mới với cùng giá trị</t>
  </si>
  <si>
    <t>API trả 422; thông báo mã tài sản đã tồn tại</t>
  </si>
  <si>
    <t>TC365</t>
  </si>
  <si>
    <t>Cập nhật tài sản</t>
  </si>
  <si>
    <t>1. Mở bản ghi tồn tại
2. Thay đổi dữ liệu hợp lệ
3. Gọi PATCH /assets/{id}</t>
  </si>
  <si>
    <t>TC366</t>
  </si>
  <si>
    <t>Truy cập tài sản không tồn tại</t>
  </si>
  <si>
    <t>Gọi GET/PATCH /assets/999999999</t>
  </si>
  <si>
    <t>TC367</t>
  </si>
  <si>
    <t>Xóa tài sản không có ràng buộc</t>
  </si>
  <si>
    <t>1. Tạo bản ghi thử không được tham chiếu
2. Gọi DELETE /assets/{id}</t>
  </si>
  <si>
    <t>TC368</t>
  </si>
  <si>
    <t>Xóa tài sản đang được sử dụng</t>
  </si>
  <si>
    <t>1. Chọn tài sản có dữ liệu liên quan
2. Gọi DELETE /assets/{id}</t>
  </si>
  <si>
    <t>API trả 409 và nêu rõ ràng buộc: đang cấp phát hoặc có sự cố mở</t>
  </si>
  <si>
    <t>TC369</t>
  </si>
  <si>
    <t>Xem danh sách bàn giao tài sản</t>
  </si>
  <si>
    <t>1. Đăng nhập tài khoản có quyền
2. Gọi GET /asset-assignments
3. Đổi trang, số bản ghi và bộ lọc</t>
  </si>
  <si>
    <t>TC370</t>
  </si>
  <si>
    <t>Xem chi tiết bàn giao tài sản</t>
  </si>
  <si>
    <t>1. Chọn một bản ghi tồn tại
2. Gọi GET /asset-assignments/{id}</t>
  </si>
  <si>
    <t>TC371</t>
  </si>
  <si>
    <t>Tạo bàn giao tài sản hợp lệ</t>
  </si>
  <si>
    <t>1. Mở form thêm mới
2. Nhập đầy đủ dữ liệu hợp lệ
3. Gọi POST /asset-assignments</t>
  </si>
  <si>
    <t>TC372</t>
  </si>
  <si>
    <t>Bỏ trống tài sản, nhân viên và ngày giao khi tạo bàn giao tài sản</t>
  </si>
  <si>
    <t>1. Mở form thêm mới
2. Bỏ trống tài sản, nhân viên và ngày giao
3. Bấm Lưu</t>
  </si>
  <si>
    <t>Không tạo dữ liệu; hiển thị validation cho tài sản, nhân viên và ngày giao</t>
  </si>
  <si>
    <t>TC373</t>
  </si>
  <si>
    <t>Cập nhật bàn giao tài sản</t>
  </si>
  <si>
    <t>1. Mở bản ghi tồn tại
2. Thay đổi dữ liệu hợp lệ
3. Gọi PATCH /asset-assignments/{id}</t>
  </si>
  <si>
    <t>TC374</t>
  </si>
  <si>
    <t>Truy cập bàn giao tài sản không tồn tại</t>
  </si>
  <si>
    <t>Gọi GET/PATCH /asset-assignments/999999999</t>
  </si>
  <si>
    <t>TC375</t>
  </si>
  <si>
    <t>Xóa bàn giao tài sản không có ràng buộc</t>
  </si>
  <si>
    <t>1. Tạo bản ghi thử không được tham chiếu
2. Gọi DELETE /asset-assignments/{id}</t>
  </si>
  <si>
    <t>TC376</t>
  </si>
  <si>
    <t>Không bàn giao tài sản đã được cấp</t>
  </si>
  <si>
    <t>Gán cùng tài sản active cho nhân viên khác</t>
  </si>
  <si>
    <t>Bị chặn 409/422</t>
  </si>
  <si>
    <t>TC377</t>
  </si>
  <si>
    <t>Thu hồi tài sản</t>
  </si>
  <si>
    <t>Cập nhật assignment sang returned với ngày/tình trạng</t>
  </si>
  <si>
    <t>Tài sản available, lịch sử bàn giao được giữ</t>
  </si>
  <si>
    <t>TC378</t>
  </si>
  <si>
    <t>Tham chiếu nhân viên khác tenant</t>
  </si>
  <si>
    <t>Tạo asset assignment với employee_id ngoài tenant</t>
  </si>
  <si>
    <t>TC379</t>
  </si>
  <si>
    <t>Tin tức &amp; chính sách</t>
  </si>
  <si>
    <t>Xem danh sách tin tức</t>
  </si>
  <si>
    <t>1. Đăng nhập tài khoản có quyền
2. Gọi GET /news
3. Đổi trang, số bản ghi và bộ lọc</t>
  </si>
  <si>
    <t>TC380</t>
  </si>
  <si>
    <t>Xem chi tiết tin tức</t>
  </si>
  <si>
    <t>1. Chọn một bản ghi tồn tại
2. Gọi GET /news/{id}</t>
  </si>
  <si>
    <t>TC381</t>
  </si>
  <si>
    <t>Tạo tin tức hợp lệ</t>
  </si>
  <si>
    <t>1. Mở form thêm mới
2. Nhập đầy đủ dữ liệu hợp lệ
3. Gọi POST /news</t>
  </si>
  <si>
    <t>TC382</t>
  </si>
  <si>
    <t>Bỏ trống tiêu đề/nội dung khi tạo tin tức</t>
  </si>
  <si>
    <t>1. Mở form thêm mới
2. Bỏ trống tiêu đề/nội dung
3. Bấm Lưu</t>
  </si>
  <si>
    <t>Không tạo dữ liệu; hiển thị validation cho tiêu đề/nội dung</t>
  </si>
  <si>
    <t>TC383</t>
  </si>
  <si>
    <t>Cập nhật tin tức</t>
  </si>
  <si>
    <t>1. Mở bản ghi tồn tại
2. Thay đổi dữ liệu hợp lệ
3. Gọi PATCH /news/{id}</t>
  </si>
  <si>
    <t>TC384</t>
  </si>
  <si>
    <t>Truy cập tin tức không tồn tại</t>
  </si>
  <si>
    <t>Gọi GET/PATCH /news/999999999</t>
  </si>
  <si>
    <t>TC385</t>
  </si>
  <si>
    <t>Xóa tin tức không có ràng buộc</t>
  </si>
  <si>
    <t>1. Tạo bản ghi thử không được tham chiếu
2. Gọi DELETE /news/{id}</t>
  </si>
  <si>
    <t>TC386</t>
  </si>
  <si>
    <t>Xóa tin tức đang được sử dụng</t>
  </si>
  <si>
    <t>1. Chọn tin tức có dữ liệu liên quan
2. Gọi DELETE /news/{id}</t>
  </si>
  <si>
    <t>API trả 409 và nêu rõ ràng buộc: tin đã published</t>
  </si>
  <si>
    <t>TC387</t>
  </si>
  <si>
    <t>Đánh dấu tin đã đọc</t>
  </si>
  <si>
    <t>POST /news/{id}/read</t>
  </si>
  <si>
    <t>Tạo news_read idempotent cho chính nhân viên</t>
  </si>
  <si>
    <t>TC388</t>
  </si>
  <si>
    <t>Xem danh sách chính sách</t>
  </si>
  <si>
    <t>1. Đăng nhập tài khoản có quyền
2. Gọi GET /policies
3. Đổi trang, số bản ghi và bộ lọc</t>
  </si>
  <si>
    <t>TC389</t>
  </si>
  <si>
    <t>Xem chi tiết chính sách</t>
  </si>
  <si>
    <t>1. Chọn một bản ghi tồn tại
2. Gọi GET /policies/{id}</t>
  </si>
  <si>
    <t>TC390</t>
  </si>
  <si>
    <t>Tạo chính sách hợp lệ</t>
  </si>
  <si>
    <t>1. Mở form thêm mới
2. Nhập đầy đủ dữ liệu hợp lệ
3. Gọi POST /policies</t>
  </si>
  <si>
    <t>TC391</t>
  </si>
  <si>
    <t>Bỏ trống tiêu đề/nội dung khi tạo chính sách</t>
  </si>
  <si>
    <t>TC392</t>
  </si>
  <si>
    <t>Cập nhật chính sách</t>
  </si>
  <si>
    <t>1. Mở bản ghi tồn tại
2. Thay đổi dữ liệu hợp lệ
3. Gọi PATCH /policies/{id}</t>
  </si>
  <si>
    <t>TC393</t>
  </si>
  <si>
    <t>Truy cập chính sách không tồn tại</t>
  </si>
  <si>
    <t>Gọi GET/PATCH /policies/999999999</t>
  </si>
  <si>
    <t>TC394</t>
  </si>
  <si>
    <t>Xóa chính sách không có ràng buộc</t>
  </si>
  <si>
    <t>1. Tạo bản ghi thử không được tham chiếu
2. Gọi DELETE /policies/{id}</t>
  </si>
  <si>
    <t>TC395</t>
  </si>
  <si>
    <t>Xác nhận chính sách</t>
  </si>
  <si>
    <t>POST /policies/{id}/acknowledge</t>
  </si>
  <si>
    <t>Lưu employee, thời gian, IP; gọi lại không tăng trùng</t>
  </si>
  <si>
    <t>TC396</t>
  </si>
  <si>
    <t>Số lượt và trạng thái xác nhận</t>
  </si>
  <si>
    <t>GET /policies sau khi ký</t>
  </si>
  <si>
    <t>is_acknowledged, acknowledged_at và count phản ánh dữ liệu thật</t>
  </si>
  <si>
    <t>TC397</t>
  </si>
  <si>
    <t>Thông báo</t>
  </si>
  <si>
    <t>Xem danh sách thông báo</t>
  </si>
  <si>
    <t>GET /notifications với phân trang/trạng thái</t>
  </si>
  <si>
    <t>Chỉ trả thông báo của người nhận đang đăng nhập</t>
  </si>
  <si>
    <t>TC398</t>
  </si>
  <si>
    <t>Đọc một thông báo</t>
  </si>
  <si>
    <t>POST /notifications/{id}/read</t>
  </si>
  <si>
    <t>read_at được cập nhật; gọi lại idempotent</t>
  </si>
  <si>
    <t>TC399</t>
  </si>
  <si>
    <t>Đọc tất cả</t>
  </si>
  <si>
    <t>POST /notifications/read-all</t>
  </si>
  <si>
    <t>Tất cả thông báo của chính user được đọc; không ảnh hưởng người khác</t>
  </si>
  <si>
    <t>TC400</t>
  </si>
  <si>
    <t>Đọc thông báo người khác</t>
  </si>
  <si>
    <t>Dùng ID thông báo của employee khác</t>
  </si>
  <si>
    <t>Trả 404/403</t>
  </si>
  <si>
    <t>TC401</t>
  </si>
  <si>
    <t>Ticket nội bộ</t>
  </si>
  <si>
    <t>Employee tạo ticket</t>
  </si>
  <si>
    <t>POST /service-tickets với danh mục, tiêu đề, mô tả</t>
  </si>
  <si>
    <t>requester_id tự lấy từ phiên; status pending</t>
  </si>
  <si>
    <t>TC402</t>
  </si>
  <si>
    <t>Employee chỉ xem ticket của mình</t>
  </si>
  <si>
    <t>GET list/show bằng hai employee</t>
  </si>
  <si>
    <t>Mỗi người chỉ thấy ticket của chính mình</t>
  </si>
  <si>
    <t>TC403</t>
  </si>
  <si>
    <t>Employee hủy ticket pending</t>
  </si>
  <si>
    <t>PATCH chỉ status=cancelled trên ticket của mình</t>
  </si>
  <si>
    <t>Hủy thành công và giữ lịch sử</t>
  </si>
  <si>
    <t>TC404</t>
  </si>
  <si>
    <t>Employee sửa nội dung/trạng thái trái phép</t>
  </si>
  <si>
    <t>PATCH field khác hoặc ticket không pending</t>
  </si>
  <si>
    <t>Trả 403</t>
  </si>
  <si>
    <t>TC405</t>
  </si>
  <si>
    <t>Helpdesk xem và xử lý ticket</t>
  </si>
  <si>
    <t>Đăng nhập role helpdesk, lọc và cập nhật ticket</t>
  </si>
  <si>
    <t>Xem phạm vi được cấp và chuyển trạng thái hợp lệ</t>
  </si>
  <si>
    <t>TC406</t>
  </si>
  <si>
    <t>Không hard-delete ticket</t>
  </si>
  <si>
    <t>DELETE /service-tickets/{id}</t>
  </si>
  <si>
    <t>Trả conflict; yêu cầu chuyển cancelled để giữ lịch sử</t>
  </si>
  <si>
    <t>TC407</t>
  </si>
  <si>
    <t>Yêu cầu phê duyệt</t>
  </si>
  <si>
    <t>Danh sách yêu cầu theo vai trò</t>
  </si>
  <si>
    <t>GET /requests bằng employee và manager</t>
  </si>
  <si>
    <t>Employee thấy đơn mình; manager thấy đơn cần duyệt</t>
  </si>
  <si>
    <t>TC408</t>
  </si>
  <si>
    <t>POST loại yêu cầu, nội dung và dữ liệu hợp lệ</t>
  </si>
  <si>
    <t>Tạo pending với approval flow đúng</t>
  </si>
  <si>
    <t>TC409</t>
  </si>
  <si>
    <t>Thiếu/sai loại yêu cầu</t>
  </si>
  <si>
    <t>Gửi request_type không tồn tại hoặc thiếu dữ liệu</t>
  </si>
  <si>
    <t>TC410</t>
  </si>
  <si>
    <t>Sửa/xóa yêu cầu pending</t>
  </si>
  <si>
    <t>Chủ đơn PATCH rồi DELETE trước khi xử lý</t>
  </si>
  <si>
    <t>Cho phép theo rule; người khác bị chặn</t>
  </si>
  <si>
    <t>TC411</t>
  </si>
  <si>
    <t>Upload file đính kèm</t>
  </si>
  <si>
    <t>POST /requests/{id}/attachments file hợp lệ</t>
  </si>
  <si>
    <t>Lưu private, metadata đúng request/tenant</t>
  </si>
  <si>
    <t>TC412</t>
  </si>
  <si>
    <t>File đính kèm sai loại/quá lớn</t>
  </si>
  <si>
    <t>Upload file bị cấm hoặc vượt giới hạn</t>
  </si>
  <si>
    <t>Trả 422; không lưu file</t>
  </si>
  <si>
    <t>TC413</t>
  </si>
  <si>
    <t>Download file đính kèm đúng quyền</t>
  </si>
  <si>
    <t>GET attachment bằng chủ đơn/người duyệt và người ngoài phạm vi</t>
  </si>
  <si>
    <t>Đúng quyền tải được; người khác 403/404</t>
  </si>
  <si>
    <t>TC414</t>
  </si>
  <si>
    <t>Duyệt theo đúng bước</t>
  </si>
  <si>
    <t>Người duyệt hiện tại gọi approve</t>
  </si>
  <si>
    <t>Ghi history và chuyển bước/trạng thái đúng</t>
  </si>
  <si>
    <t>TC415</t>
  </si>
  <si>
    <t>Bỏ qua bước hoặc tự duyệt</t>
  </si>
  <si>
    <t>Người không ở bước hiện tại/người tạo gọi approve</t>
  </si>
  <si>
    <t>Bị chặn</t>
  </si>
  <si>
    <t>TC416</t>
  </si>
  <si>
    <t>Người duyệt gọi reject kèm lý do</t>
  </si>
  <si>
    <t>Trạng thái rejected và dừng flow</t>
  </si>
  <si>
    <t>TC417</t>
  </si>
  <si>
    <t>Hủy yêu cầu</t>
  </si>
  <si>
    <t>Chủ đơn hủy khi pending và sau khi approved</t>
  </si>
  <si>
    <t>Pending hủy theo rule; approved bị chặn/đảo nghiệp vụ đúng quy định</t>
  </si>
  <si>
    <t>TC418</t>
  </si>
  <si>
    <t>Approve đồng thời</t>
  </si>
  <si>
    <t>Hai request approve cùng bước gần đồng thời</t>
  </si>
  <si>
    <t>Chỉ xử lý một lần; history không duplicate</t>
  </si>
  <si>
    <t>TC419</t>
  </si>
  <si>
    <t>Báo cáo &amp; AI trợ lý</t>
  </si>
  <si>
    <t>Sinh báo cáo hợp lệ</t>
  </si>
  <si>
    <t>POST /reports/generate với loại báo cáo, cột, bộ lọc và định dạng</t>
  </si>
  <si>
    <t>Trả dữ liệu/file đúng tenant và điều kiện</t>
  </si>
  <si>
    <t>TC420</t>
  </si>
  <si>
    <t>Báo cáo dữ liệu lớn</t>
  </si>
  <si>
    <t>Sinh báo cáo phạm vi lớn</t>
  </si>
  <si>
    <t>Hoàn thành trong ngưỡng chấp nhận hoặc chạy async; không hết bộ nhớ</t>
  </si>
  <si>
    <t>TC421</t>
  </si>
  <si>
    <t>Chặn cột/bộ lọc không được phép</t>
  </si>
  <si>
    <t>Chèn tên cột SQL, tenant_id khác hoặc payload bất thường</t>
  </si>
  <si>
    <t>Validation và chống injection; không lộ dữ liệu</t>
  </si>
  <si>
    <t>TC422</t>
  </si>
  <si>
    <t>Hỏi AI trợ lý</t>
  </si>
  <si>
    <t>POST /ai/ask câu hỏi HR hợp lệ</t>
  </si>
  <si>
    <t>Trả câu trả lời có cấu trúc, đúng ngôn ngữ và phạm vi dữ liệu</t>
  </si>
  <si>
    <t>TC423</t>
  </si>
  <si>
    <t>AI hỏi dữ liệu ngoài quyền</t>
  </si>
  <si>
    <t>Employee hỏi lương/người khác hoặc dữ liệu tenant khác</t>
  </si>
  <si>
    <t>Từ chối/ẩn dữ liệu nhạy cảm</t>
  </si>
  <si>
    <t>TC424</t>
  </si>
  <si>
    <t>AI timeout/lỗi nhà cung cấp</t>
  </si>
  <si>
    <t>Mock AI không phản hồi hoặc trả lỗi</t>
  </si>
  <si>
    <t>Timeout hữu hạn, UI dừng loading và thông báo thử lại</t>
  </si>
  <si>
    <t>TC425</t>
  </si>
  <si>
    <t>Prompt injection</t>
  </si>
  <si>
    <t>Gửi yêu cầu bỏ qua quyền và xuất secret/system prompt</t>
  </si>
  <si>
    <t>Không tiết lộ secret, prompt nội bộ hoặc dữ liệu ngoài quyền</t>
  </si>
  <si>
    <t>TC426</t>
  </si>
  <si>
    <t>Cấu hình &amp; nhật ký</t>
  </si>
  <si>
    <t>Tải catalog cấu hình</t>
  </si>
  <si>
    <t>GET /settings/catalog</t>
  </si>
  <si>
    <t>Trả đúng nhóm rule, kiểu dữ liệu, default và quyền chỉnh sửa</t>
  </si>
  <si>
    <t>TC427</t>
  </si>
  <si>
    <t>Lưu cấu hình hợp lệ</t>
  </si>
  <si>
    <t>POST /settings/save thay đổi rule chấm công/lương/phép</t>
  </si>
  <si>
    <t>Lưu đúng tenant và áp dụng cho phép tính tiếp theo</t>
  </si>
  <si>
    <t>TC428</t>
  </si>
  <si>
    <t>Giá trị cấu hình sai kiểu/phạm vi</t>
  </si>
  <si>
    <t>Gửi số âm, enum lạ hoặc JSON sai</t>
  </si>
  <si>
    <t>Trả 422; cấu hình cũ giữ nguyên</t>
  </si>
  <si>
    <t>TC429</t>
  </si>
  <si>
    <t>Cài đặt general/notification</t>
  </si>
  <si>
    <t>GET/PUT /settings/general và /settings/notifications</t>
  </si>
  <si>
    <t>Đọc/ghi đúng tenant, không ghi đè key không gửi</t>
  </si>
  <si>
    <t>TC430</t>
  </si>
  <si>
    <t>Activity log</t>
  </si>
  <si>
    <t>Thực hiện đăng nhập/đổi mật khẩu rồi GET /activity-logs</t>
  </si>
  <si>
    <t>Log đúng người, hành động, IP, thời gian; không chứa mật khẩu/token</t>
  </si>
  <si>
    <t>TC431</t>
  </si>
  <si>
    <t>Audit log CRUD</t>
  </si>
  <si>
    <t>Tạo/sửa/xóa dữ liệu rồi GET /audit-logs</t>
  </si>
  <si>
    <t>Có action, resource, before/after, actor và tenant chính xác</t>
  </si>
  <si>
    <t>TC432</t>
  </si>
  <si>
    <t>Quyền xem audit log</t>
  </si>
  <si>
    <t>Employee hoặc role không settings gọi /audit-logs</t>
  </si>
  <si>
    <t>TC433</t>
  </si>
  <si>
    <t>Pháp nhân &amp; Platform</t>
  </si>
  <si>
    <t>Xem danh sách pháp nhân</t>
  </si>
  <si>
    <t>1. Đăng nhập tài khoản có quyền
2. Gọi GET /legal-entities
3. Đổi trang, số bản ghi và bộ lọc</t>
  </si>
  <si>
    <t>TC434</t>
  </si>
  <si>
    <t>Xem chi tiết pháp nhân</t>
  </si>
  <si>
    <t>1. Chọn một bản ghi tồn tại
2. Gọi GET /legal-entities/{id}</t>
  </si>
  <si>
    <t>TC435</t>
  </si>
  <si>
    <t>Tạo pháp nhân hợp lệ</t>
  </si>
  <si>
    <t>1. Mở form thêm mới
2. Nhập đầy đủ dữ liệu hợp lệ
3. Gọi POST /legal-entities</t>
  </si>
  <si>
    <t>TC436</t>
  </si>
  <si>
    <t>Bỏ trống tên/mã pháp nhân khi tạo pháp nhân</t>
  </si>
  <si>
    <t>1. Mở form thêm mới
2. Bỏ trống tên/mã pháp nhân
3. Bấm Lưu</t>
  </si>
  <si>
    <t>Không tạo dữ liệu; hiển thị validation cho tên/mã pháp nhân</t>
  </si>
  <si>
    <t>TC437</t>
  </si>
  <si>
    <t>Tạo pháp nhân với mã pháp nhân bị trùng</t>
  </si>
  <si>
    <t>1. Lấy mã pháp nhân đang tồn tại
2. Tạo bản ghi mới với cùng giá trị</t>
  </si>
  <si>
    <t>API trả 422; thông báo mã pháp nhân đã tồn tại</t>
  </si>
  <si>
    <t>TC438</t>
  </si>
  <si>
    <t>Cập nhật pháp nhân</t>
  </si>
  <si>
    <t>1. Mở bản ghi tồn tại
2. Thay đổi dữ liệu hợp lệ
3. Gọi PATCH /legal-entities/{id}</t>
  </si>
  <si>
    <t>TC439</t>
  </si>
  <si>
    <t>Truy cập pháp nhân không tồn tại</t>
  </si>
  <si>
    <t>Gọi GET/PATCH /legal-entities/999999999</t>
  </si>
  <si>
    <t>TC440</t>
  </si>
  <si>
    <t>Xóa pháp nhân không có ràng buộc</t>
  </si>
  <si>
    <t>1. Tạo bản ghi thử không được tham chiếu
2. Gọi DELETE /legal-entities/{id}</t>
  </si>
  <si>
    <t>TC441</t>
  </si>
  <si>
    <t>Danh sách tenant Platform</t>
  </si>
  <si>
    <t>Super admin GET /platform/tenants</t>
  </si>
  <si>
    <t>Trả tenant toàn platform; admin thường bị chặn</t>
  </si>
  <si>
    <t>TC442</t>
  </si>
  <si>
    <t>Tạo tenant</t>
  </si>
  <si>
    <t>Super admin POST thông tin tenant hợp lệ</t>
  </si>
  <si>
    <t>Tạo tenant và dữ liệu bootstrap cần thiết, không lộ secret</t>
  </si>
  <si>
    <t>TC443</t>
  </si>
  <si>
    <t>Tạo tenant trùng mã/domain</t>
  </si>
  <si>
    <t>POST mã hoặc domain đã tồn tại</t>
  </si>
  <si>
    <t>TC444</t>
  </si>
  <si>
    <t>Xem chi tiết tenant</t>
  </si>
  <si>
    <t>GET /platform/tenants/{id}</t>
  </si>
  <si>
    <t>Trả đúng cấu hình/tình trạng, không trả mật khẩu/token</t>
  </si>
  <si>
    <t>TC445</t>
  </si>
  <si>
    <t>Admin tenant gọi Platform API</t>
  </si>
  <si>
    <t>Dùng token admin thường gọi mọi endpoint /platform</t>
  </si>
  <si>
    <t>TC446</t>
  </si>
  <si>
    <t>Mobile portal</t>
  </si>
  <si>
    <t>Tự chuyển sang mobile</t>
  </si>
  <si>
    <t>Employee mở /employee-portal trên màn hình &lt;768px chưa chọn desktop</t>
  </si>
  <si>
    <t>Chuyển đến /m; admin vẫn giữ desktop</t>
  </si>
  <si>
    <t>TC447</t>
  </si>
  <si>
    <t>Ưu tiên bản đầy đủ</t>
  </si>
  <si>
    <t>Chọn Dùng bản đầy đủ rồi mở lại portal</t>
  </si>
  <si>
    <t>Không tự chuyển /m khi prefer_desktop được lưu</t>
  </si>
  <si>
    <t>TC448</t>
  </si>
  <si>
    <t>Trang chủ mobile</t>
  </si>
  <si>
    <t>Mở /m</t>
  </si>
  <si>
    <t>Hiển thị tác vụ và dữ liệu cá nhân, bottom tab đúng</t>
  </si>
  <si>
    <t>TC449</t>
  </si>
  <si>
    <t>Chấm công mobile</t>
  </si>
  <si>
    <t>Mở /m/attendance và check-in/out</t>
  </si>
  <si>
    <t>Dùng API hiện có, loading/error rõ ràng và không gửi trùng</t>
  </si>
  <si>
    <t>TC450</t>
  </si>
  <si>
    <t>Đơn từ mobile</t>
  </si>
  <si>
    <t>Mở /m/requests, tạo và xem trạng thái đơn</t>
  </si>
  <si>
    <t>Dữ liệu đồng bộ với desktop, chỉ self-scope</t>
  </si>
  <si>
    <t>TC451</t>
  </si>
  <si>
    <t>Phiếu lương mobile</t>
  </si>
  <si>
    <t>Mở /m/salary</t>
  </si>
  <si>
    <t>Chỉ hiển thị phiếu lương của chính nhân viên và đúng kỳ</t>
  </si>
  <si>
    <t>TC452</t>
  </si>
  <si>
    <t>Hồ sơ mobile</t>
  </si>
  <si>
    <t>Mở /m/me, xem/chỉnh thông tin cho phép</t>
  </si>
  <si>
    <t>Hiển thị đúng profile và tạo request nếu trường cần duyệt</t>
  </si>
  <si>
    <t>TC453</t>
  </si>
  <si>
    <t>Điều hướng khi chưa đăng nhập</t>
  </si>
  <si>
    <t>Mở trực tiếp /m/* trong ẩn danh</t>
  </si>
  <si>
    <t>Chuyển /login; không nháy dữ liệu bảo vệ</t>
  </si>
  <si>
    <t>TC454</t>
  </si>
  <si>
    <t>Responsive và vùng an toàn</t>
  </si>
  <si>
    <t>Kiểm tra 320px, iPhone/Android và xoay ngang</t>
  </si>
  <si>
    <t>Không tràn ngang, bottom nav không che nội dung, nút đủ vùng chạm</t>
  </si>
  <si>
    <t>TC455</t>
  </si>
  <si>
    <t>Mạng chậm/mất mạng</t>
  </si>
  <si>
    <t>Giả lập Slow 3G/offline khi tải và submit</t>
  </si>
  <si>
    <t>Có loading/retry; không tạo request/chấm công trùng</t>
  </si>
  <si>
    <t>STT</t>
  </si>
  <si>
    <t>Chức năng cần test</t>
  </si>
  <si>
    <t>Màn hình / API</t>
  </si>
  <si>
    <t>Vai trò</t>
  </si>
  <si>
    <t>Ưu tiên</t>
  </si>
  <si>
    <t>Health check, API root, HTTPS/domain, CORS, lỗi dịch vụ phụ thuộc</t>
  </si>
  <si>
    <t>/api/v1, /api/v1/health</t>
  </si>
  <si>
    <t>Public/DevOps</t>
  </si>
  <si>
    <t>Đăng nhập, đăng nhập demo, phiên người dùng, refresh token, đổi/quên/đặt lại mật khẩu, đăng xuất</t>
  </si>
  <si>
    <t>/auth/*</t>
  </si>
  <si>
    <t>Tất cả</t>
  </si>
  <si>
    <t>Role/permission, module access, super admin, cô lập dữ liệu tenant, che dữ liệu nhạy cảm</t>
  </si>
  <si>
    <t>/roles, /permissions, /role-permissions</t>
  </si>
  <si>
    <t>Admin/Super Admin</t>
  </si>
  <si>
    <t>Thống kê nhân sự, biến động, chi phí, tuyển dụng, chấm công và biểu đồ</t>
  </si>
  <si>
    <t>/dashboard/stats</t>
  </si>
  <si>
    <t>Admin</t>
  </si>
  <si>
    <t>Tổng quan cá nhân, hồ sơ, đơn từ, chấm công, thông báo, phiếu lương</t>
  </si>
  <si>
    <t>/employee-portal</t>
  </si>
  <si>
    <t>Employee</t>
  </si>
  <si>
    <t>Danh sách, tìm kiếm, tạo/sửa/xóa, import, lookup, chi tiết, tách khỏi tổ chức</t>
  </si>
  <si>
    <t>/employees</t>
  </si>
  <si>
    <t>Admin/HR</t>
  </si>
  <si>
    <t>CRUD, cây phòng ban, quản lý thành viên, phân công nhân viên, chi phí phòng ban</t>
  </si>
  <si>
    <t>/departments</t>
  </si>
  <si>
    <t>CRUD chức danh, nhóm công việc, liên kết job family và vị trí</t>
  </si>
  <si>
    <t>/positions, /job-titles, /job-families</t>
  </si>
  <si>
    <t>Profile, lịch sử công tác, chứng chỉ, người phụ thuộc, giấy tờ và bảo hiểm</t>
  </si>
  <si>
    <t>/employees/{id}/profile, /employment-histories, /dependents</t>
  </si>
  <si>
    <t>Admin/Employee</t>
  </si>
  <si>
    <t>Đề xuất, duyệt khác người đề xuất, từ chối và áp dụng điều chuyển/thăng chức</t>
  </si>
  <si>
    <t>/personnel-decisions</t>
  </si>
  <si>
    <t>Danh mục trường được đổi, tạo đơn, duyệt, từ chối, hủy</t>
  </si>
  <si>
    <t>/profile-change-requests</t>
  </si>
  <si>
    <t>Employee/Admin</t>
  </si>
  <si>
    <t>CRUD, kích hoạt, chấm dứt, đồng bộ tổ chức, lịch sử thay đổi</t>
  </si>
  <si>
    <t>/contracts</t>
  </si>
  <si>
    <t>Placeholder, render mẫu, gửi ký, OTP, ký điện tử</t>
  </si>
  <si>
    <t>/contract-templates, /contracts/{id}/sign</t>
  </si>
  <si>
    <t>Check-in/out, sửa/duyệt công, chống chấm trùng, xác định ca và đi muộn/về sớm</t>
  </si>
  <si>
    <t>/attendances</t>
  </si>
  <si>
    <t>Đăng ký thiết bị, token, nhận punch, ZKTeco bridge, replay và enroll_id</t>
  </si>
  <si>
    <t>/attendance-devices, /internal/attendance/device-punch</t>
  </si>
  <si>
    <t>Admin/Device</t>
  </si>
  <si>
    <t>Tạo đơn, xem, duyệt, từ chối, hủy và cập nhật bản công</t>
  </si>
  <si>
    <t>/attendance-adjustments</t>
  </si>
  <si>
    <t>Tổng hợp, xem timesheet, chạy summary, recompute và khóa dữ liệu</t>
  </si>
  <si>
    <t>/attendance/timesheet, /attendance/recompute</t>
  </si>
  <si>
    <t>Admin/Payroll</t>
  </si>
  <si>
    <t>Số dư, tạo/sửa/xóa đơn, duyệt/từ chối/hủy, cộng phép, seed lễ Việt Nam</t>
  </si>
  <si>
    <t>/leave-requests, /holidays</t>
  </si>
  <si>
    <t>Loại ca, phân ca, lịch làm, sinh roster và hiển thị bảng xếp ca</t>
  </si>
  <si>
    <t>/shift-types, /shift-assignments, /shift-roster</t>
  </si>
  <si>
    <t>Đăng ký, giới hạn sử dụng, duyệt, tính vào công và lương</t>
  </si>
  <si>
    <t>/overtime-requests</t>
  </si>
  <si>
    <t>Yêu cầu đổi ca, duyệt, tạo yêu cầu phủ ca, offer, phản hồi, hủy</t>
  </si>
  <si>
    <t>/shift-swaps, /shift-coverage-*</t>
  </si>
  <si>
    <t>CRUD kỳ lương, chạy lương, bonus, trạng thái job, submit/reopen/close maker-checker</t>
  </si>
  <si>
    <t>/salary-periods, /payroll/*</t>
  </si>
  <si>
    <t>Payroll/Admin</t>
  </si>
  <si>
    <t>CRUD salary detail/component, breakdown, điều chỉnh và tải phiếu lương</t>
  </si>
  <si>
    <t>/salary-details, /salary-components</t>
  </si>
  <si>
    <t>Payroll/Employee</t>
  </si>
  <si>
    <t>Danh sách, ghi nhận sản lượng, đơn giá, xóa và đưa vào kỳ lương</t>
  </si>
  <si>
    <t>/piece-rate-entries</t>
  </si>
  <si>
    <t>CRUD bài tuyển dụng, JD, liên kết vị trí, publish, close và slug public</t>
  </si>
  <si>
    <t>/recruitment-posts</t>
  </si>
  <si>
    <t>HR</t>
  </si>
  <si>
    <t>Danh sách công khai, popup JD, form nộp CV, validation và chống spam</t>
  </si>
  <si>
    <t>/careers, /public/recruitment/*</t>
  </si>
  <si>
    <t>Public</t>
  </si>
  <si>
    <t>Kanban, CRUD ứng viên, upload/download CV, AI score, retry, manager review, reject/hire</t>
  </si>
  <si>
    <t>/recruitment-candidates</t>
  </si>
  <si>
    <t>HR/Manager</t>
  </si>
  <si>
    <t>Health, screen đơn/lô, kết quả, ranking, feedback và lỗi kết nối Tailscale</t>
  </si>
  <si>
    <t>resume-backend /screen, /feedback</t>
  </si>
  <si>
    <t>Internal</t>
  </si>
  <si>
    <t>CRUD lịch phỏng vấn, lịch hẹn, đánh giá quản lý và xung đột thời gian</t>
  </si>
  <si>
    <t>/interviews</t>
  </si>
  <si>
    <t>Checklist, task, trạng thái hội nhập/nghỉ việc và điều kiện hoàn thành</t>
  </si>
  <si>
    <t>/onboarding-checklists</t>
  </si>
  <si>
    <t>HR/Admin</t>
  </si>
  <si>
    <t>CRUD tài sản, danh mục, bàn giao/thu hồi, sự cố và lịch sử cấp phát</t>
  </si>
  <si>
    <t>/assets, /asset-assignments</t>
  </si>
  <si>
    <t>CRUD tin nội bộ, đánh dấu đọc, ký xác nhận chính sách và số lượt ký</t>
  </si>
  <si>
    <t>/news, /policies</t>
  </si>
  <si>
    <t>Danh sách, badge chưa đọc, đọc từng thông báo và đọc tất cả</t>
  </si>
  <si>
    <t>/notifications</t>
  </si>
  <si>
    <t>Tạo/xem/hủy ticket, self-scope, quản trị xử lý và giữ lịch sử</t>
  </si>
  <si>
    <t>/service-tickets</t>
  </si>
  <si>
    <t>Employee/Helpdesk</t>
  </si>
  <si>
    <t>CRUD đơn, file đính kèm, duyệt/từ chối/hủy và chuỗi phê duyệt</t>
  </si>
  <si>
    <t>/requests</t>
  </si>
  <si>
    <t>Employee/Manager</t>
  </si>
  <si>
    <t>Sinh báo cáo tùy chỉnh, xuất dữ liệu, hỏi AI và xử lý timeout</t>
  </si>
  <si>
    <t>/reports/generate, /ai/ask</t>
  </si>
  <si>
    <t>Catalog cấu hình, lưu rule nghiệp vụ, activity log và audit log</t>
  </si>
  <si>
    <t>/settings, /activity-logs, /audit-logs</t>
  </si>
  <si>
    <t>CRUD pháp nhân, quản trị tenant và quyền super admin</t>
  </si>
  <si>
    <t>/legal-entities, /platform/tenants</t>
  </si>
  <si>
    <t>Điều hướng mobile, home, chấm công, đơn từ, lương, hồ sơ và responsive</t>
  </si>
  <si>
    <t>/m/*</t>
  </si>
  <si>
    <t>PASS - Laravel HrmApiTest: health endpoint trả JSON thành công.</t>
  </si>
  <si>
    <t>Automated evidence after merge 77a8833b</t>
  </si>
  <si>
    <t>PASS - Laravel HrmApiTest: đăng nhập và luồng tài nguyên có xác thực thành công.</t>
  </si>
  <si>
    <t>PASS - Laravel DemoLoginSeederTest: các tài khoản đăng nhập nhanh được seed và xác thực thành công.</t>
  </si>
  <si>
    <t>PASS - Laravel HrmApiTest: tài nguyên bảo vệ từ chối request không có bearer token.</t>
  </si>
  <si>
    <t>PASS - Laravel RoleJourneyTest: vai trò quản lý chỉ truy cập được module được cấp.</t>
  </si>
  <si>
    <t>PASS - Laravel HrmApiTest: nhân viên không thể ghi vào module quản trị.</t>
  </si>
  <si>
    <t>PASS - Laravel RoleJourneyTest: danh bạ nhân viên che trường nhạy cảm với tài khoản thường.</t>
  </si>
  <si>
    <t>PASS - Laravel HrmApiTest: headcount loại tài khoản hệ thống.</t>
  </si>
  <si>
    <t>PASS - Laravel BusinessRulesTest: tạo nhân viên hợp lệ thành công.</t>
  </si>
  <si>
    <t>PASS - Laravel BusinessRulesTest: chặn tạo nhân viên thiếu họ tên.</t>
  </si>
  <si>
    <t>PASS - Laravel BusinessRulesTest: chặn tạo nhân viên thiếu email.</t>
  </si>
  <si>
    <t>PASS - Laravel BusinessRulesTest: chặn email nhân viên trùng khi tạo và cập nhật.</t>
  </si>
  <si>
    <t>PASS - Laravel DataIntegrityTest: cập nhật profile một phần giữ nguyên các khóa hiện có.</t>
  </si>
  <si>
    <t>PASS - Frontend test:lookup-cache: bộ nhớ đệm tra cứu nhân viên hoạt động đúng.</t>
  </si>
  <si>
    <t>PASS - Laravel BusinessRulesTest: không xóa nhân viên có hợp đồng hoạt động.</t>
  </si>
  <si>
    <t>PASS - Laravel BusinessRulesTest: không xóa nhân viên còn lương, role hoặc tài sản; trả nhiều violation.</t>
  </si>
  <si>
    <t>PASS - Laravel EmployeeStatusTest: không tự chuyển nhân viên sang nghỉ việc do thiếu/hết hợp đồng.</t>
  </si>
  <si>
    <t>PASS - Laravel BusinessRulesTest: không xóa phòng ban đang có nhân viên.</t>
  </si>
  <si>
    <t>PASS - Laravel BusinessRulesTest: cây phòng ban và manager meta được hợp nhất đúng.</t>
  </si>
  <si>
    <t>PASS - Laravel JobFamilyTest: tạo nhóm chức danh và liên kết dữ liệu thành công.</t>
  </si>
  <si>
    <t>PASS - Laravel JobFamilyTest: thiếu code hoặc name trả validation 422.</t>
  </si>
  <si>
    <t>PASS - Laravel JobFamilyTest: mã nhóm chức danh trùng trả validation 422.</t>
  </si>
  <si>
    <t>PASS - Laravel JobFamilyTest: position liên kết đúng job family.</t>
  </si>
  <si>
    <t>PASS - Laravel BusinessRulesTest và DataIntegrityTest: lịch sử nhân sự không bị hard-delete.</t>
  </si>
  <si>
    <t>PASS - Laravel BusinessRulesTest: chặn tạo hợp đồng thiếu employee_id.</t>
  </si>
  <si>
    <t>PASS - Laravel BusinessRulesTest: cập nhật hợp đồng kiểm tra employee_id hợp lệ.</t>
  </si>
  <si>
    <t>PASS - Laravel DataIntegrityTest: cập nhật meta hợp đồng một phần giữ audit chữ ký.</t>
  </si>
  <si>
    <t>PASS - Laravel BusinessRulesTest: sửa hợp đồng tạo log riêng cho từng trường.</t>
  </si>
  <si>
    <t>PASS - Laravel BusinessRulesTest: hợp đồng active đồng bộ tổ chức.</t>
  </si>
  <si>
    <t>PASS - Laravel BusinessRulesTest: hợp đồng inactive không đồng bộ tổ chức.</t>
  </si>
  <si>
    <t>PASS - Laravel BusinessRulesTest: chuyển inactive sang active đồng bộ tổ chức đầy đủ.</t>
  </si>
  <si>
    <t>PASS - Laravel Milestone3 tests: cập nhật trường chuẩn của attendance thành công.</t>
  </si>
  <si>
    <t>PASS - Laravel Milestone3 tests: merge trường mở rộng vào attendance meta.</t>
  </si>
  <si>
    <t>PASS - Laravel Milestone3 tests: dữ liệu attendance không hợp lệ trả validation.</t>
  </si>
  <si>
    <t>PASS - Laravel DeviceAttendanceTest: replay punch không làm sai giờ chấm công.</t>
  </si>
  <si>
    <t>PASS - Laravel Milestone3ChallengerTest: CRUD loại ca và phân ca hoạt động.</t>
  </si>
  <si>
    <t>PASS - Laravel Milestone3ChallengerTest: tạo loại ca thành công.</t>
  </si>
  <si>
    <t>PASS - Laravel Milestone3ChallengerTest: cập nhật loại ca thành công.</t>
  </si>
  <si>
    <t>PASS - Laravel Milestone3ChallengerTest: xóa loại ca thử nghiệm thành công.</t>
  </si>
  <si>
    <t>PASS - Laravel Milestone3ChallengerTest: đọc danh sách phân ca thành công.</t>
  </si>
  <si>
    <t>PASS - Laravel Milestone3ChallengerTest: tạo phân ca thành công.</t>
  </si>
  <si>
    <t>PASS - Laravel Milestone3ChallengerTest: cập nhật phân ca thành công.</t>
  </si>
  <si>
    <t>PASS - Laravel Milestone3ChallengerTest: xóa phân ca thử nghiệm thành công.</t>
  </si>
  <si>
    <t>PASS - Laravel PayrollDataCompletenessTest: payroll chọn đúng hợp đồng hiệu lực.</t>
  </si>
  <si>
    <t>PASS - Laravel Milestone3 tests: đọc danh sách thành phần lương thành công.</t>
  </si>
  <si>
    <t>PASS - Laravel Milestone3 tests: tạo thành phần lương thành công.</t>
  </si>
  <si>
    <t>PASS - Laravel Milestone3 tests: cập nhật thành phần lương thành công.</t>
  </si>
  <si>
    <t>PASS - Laravel Milestone3 tests: xóa thành phần lương thử nghiệm thành công.</t>
  </si>
  <si>
    <t>PASS - Laravel Milestone3 tests: tạo salary detail thành công.</t>
  </si>
  <si>
    <t>PASS - Laravel Milestone3VerificationTest: salary detail sai dữ liệu trả validation.</t>
  </si>
  <si>
    <t>PASS - Laravel Milestone3 tests: cập nhật salary detail thành công.</t>
  </si>
  <si>
    <t>PASS - Laravel PayrollDataCompletenessTest: payslip trả đúng ngữ cảnh nhân viên và hợp đồng.</t>
  </si>
  <si>
    <t>PASS - Laravel RecruitmentPostPublishingTest: publish bài tuyển dụng có vị trí liên kết và JD công khai.</t>
  </si>
  <si>
    <t>PASS - Laravel PublicRecruitmentApplicationTest: nộp CV công khai lưu file và kết quả AI.</t>
  </si>
  <si>
    <t>PASS - Laravel PublicRecruitmentApplicationTest: chặn CV sai định dạng.</t>
  </si>
  <si>
    <t>PASS - Laravel PublicRecruitmentApplicationTest: chặn bài tuyển dụng không tồn tại.</t>
  </si>
  <si>
    <t>PASS - Laravel DataIntegrityTest: upload CV ứng viên yêu cầu xác thực.</t>
  </si>
  <si>
    <t>PASS - Laravel RoleJourneyTest: employee chỉ xem ticket của mình.</t>
  </si>
  <si>
    <t>PASS - Laravel RoleJourneyTest: employee hủy ticket pending của chính mình.</t>
  </si>
  <si>
    <t>PASS - Laravel RoleJourneyTest: employee không được sửa ticket ngoài quy tắc.</t>
  </si>
  <si>
    <t>PASS - Laravel RoleJourneyTest: ticket giữ lịch sử, không hard-delete.</t>
  </si>
  <si>
    <t>Pass là case có bằng chứng tự động trực tiếp sau merge; Pending cần kiểm thử thủ công hoặc môi trường thật.</t>
  </si>
  <si>
    <t>KẾT QUẢ KIỂM THỬ SAU MERGE 77a8833b</t>
  </si>
  <si>
    <t>Hạng mục</t>
  </si>
  <si>
    <t>Kết quả</t>
  </si>
  <si>
    <t>Bằng chứng / Ghi chú</t>
  </si>
  <si>
    <t>Merge Git</t>
  </si>
  <si>
    <t>PASS</t>
  </si>
  <si>
    <t>Merge commit 77a8833b có hai parent: production local và hrm-source/main; chưa push.</t>
  </si>
  <si>
    <t>Frontend CSV test</t>
  </si>
  <si>
    <t>npm run test:csv hoàn thành exit code 0.</t>
  </si>
  <si>
    <t>Frontend lookup cache test</t>
  </si>
  <si>
    <t>npm run test:lookup-cache: employee lookup cache OK.</t>
  </si>
  <si>
    <t>Frontend production build</t>
  </si>
  <si>
    <t>Vite build thành công, 545 module được transform.</t>
  </si>
  <si>
    <t>Laravel automated tests</t>
  </si>
  <si>
    <t>71 test pass, 383 assertion, thời gian 37.24 giây.</t>
  </si>
  <si>
    <t>Composer validate</t>
  </si>
  <si>
    <t>composer.json và composer.lock hợp lệ.</t>
  </si>
  <si>
    <t>Composer security audit</t>
  </si>
  <si>
    <t>Không có security advisory trong dependency PHP đã khóa.</t>
  </si>
  <si>
    <t>Laravel routes</t>
  </si>
  <si>
    <t>Đăng ký thành công 221 route.</t>
  </si>
  <si>
    <t>Docker Compose</t>
  </si>
  <si>
    <t>docker compose config --quiet thành công.</t>
  </si>
  <si>
    <t>Deploy shell syntax</t>
  </si>
  <si>
    <t>deploy-production.sh và provision-vps.sh qua bash -n.</t>
  </si>
  <si>
    <t>Production domain hiện tại</t>
  </si>
  <si>
    <t>Trang chủ, careers, health và public recruitment posts đều HTTP 200; vẫn chạy commit remote cũ d13afd96.</t>
  </si>
  <si>
    <t>NPM dependency audit</t>
  </si>
  <si>
    <t>WARNING</t>
  </si>
  <si>
    <t>5 lỗ hổng gián tiếp: 1 moderate, 4 high; chưa chạy npm audit fix để tránh nâng version ngoài phạm vi.</t>
  </si>
  <si>
    <t>Browserslist database</t>
  </si>
  <si>
    <t>caniuse-lite đã cũ khoảng 9 tháng; build vẫn thành công.</t>
  </si>
  <si>
    <t>Resume backend qua Tailscale</t>
  </si>
  <si>
    <t>PENDING</t>
  </si>
  <si>
    <t>Chưa có bằng chứng service local 100.95.129.101/100.105.84.89 đang chạy trong lượt kiểm thử này.</t>
  </si>
  <si>
    <t>Máy chấm công vật lý</t>
  </si>
  <si>
    <t>Automated replay test pass nhưng chưa kiểm thử trực tiếp thiết bị ZKTeco/Wise Eye cổng 4370.</t>
  </si>
  <si>
    <t>UI end-to-end và nghiệp vụ thủ công</t>
  </si>
  <si>
    <t>Cần thực thi các case còn Pending trên môi trường staging/production sau deploy.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</si>
</sst>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6">
    <font>
      <sz val="11"/>
      <name val="ＭＳ Ｐゴシック"/>
    </font>
    <font>
      <sz val="11"/>
      <name val="ＭＳ Ｐゴシック"/>
    </font>
    <font>
      <sz val="11"/>
      <name val="ＭＳ Ｐゴシック"/>
    </font>
    <font>
      <sz val="9"/>
      <name val="ＭＳ ゴシック"/>
    </font>
    <font>
      <sz val="10"/>
      <name val="Tahoma"/>
    </font>
    <font>
      <sz val="8"/>
      <color indexed="8"/>
      <name val="Tahoma"/>
    </font>
    <font>
      <sz val="10"/>
      <color indexed="8"/>
      <name val="Tahoma"/>
    </font>
    <font>
      <b/>
      <sz val="18"/>
      <name val="Tahoma"/>
    </font>
    <font>
      <sz val="11"/>
      <name val="Tahoma"/>
    </font>
    <font>
      <b/>
      <sz val="10"/>
      <name val="Tahoma"/>
    </font>
    <font>
      <b/>
      <sz val="10"/>
      <color indexed="60"/>
      <name val="Tahoma"/>
    </font>
    <font>
      <b/>
      <sz val="10"/>
      <color indexed="9"/>
      <name val="Tahoma"/>
    </font>
    <font>
      <sz val="10"/>
      <color indexed="9"/>
      <name val="Tahoma"/>
    </font>
    <font>
      <sz val="10"/>
      <name val="ＭＳ Ｐゴシック"/>
    </font>
    <font>
      <b/>
      <sz val="13"/>
      <color rgb="FFFFFFFF"/>
      <name val="Times New Roman"/>
    </font>
    <font>
      <sz val="13"/>
      <name val="Times New Roman"/>
    </font>
    <font>
      <sz val="10"/>
      <color indexed="8"/>
      <name val="Tahoma"/>
    </font>
    <font>
      <b/>
      <sz val="13"/>
      <color theme="0"/>
      <name val="Times New Roman"/>
    </font>
    <font>
      <sz val="11"/>
      <name val="Times New Roman"/>
    </font>
    <font>
      <b/>
      <sz val="13"/>
      <color indexed="60"/>
      <name val="Times New Roman"/>
    </font>
    <font>
      <b/>
      <sz val="13"/>
      <color indexed="9"/>
      <name val="Times New Roman"/>
    </font>
    <font>
      <sz val="10"/>
      <name val="Tahoma"/>
    </font>
    <font>
      <sz val="10"/>
      <color indexed="9"/>
      <name val="Tahoma"/>
    </font>
    <font>
      <b/>
      <sz val="10"/>
      <color indexed="12"/>
      <name val="Tahoma"/>
    </font>
    <font>
      <b/>
      <sz val="10"/>
      <name val="ＭＳ Ｐゴシック"/>
      <family val="3"/>
    </font>
    <font>
      <b/>
      <sz val="10"/>
      <name val="MS Gothic"/>
      <family val="3"/>
    </font>
    <font>
      <sz val="10"/>
      <color indexed="8"/>
      <name val="Tahoma"/>
      <family val="2"/>
    </font>
    <font>
      <sz val="13"/>
      <name val="Times New Roman"/>
      <family val="1"/>
    </font>
    <font>
      <b/>
      <sz val="11"/>
      <color rgb="FFFFFFFF"/>
      <name val="ＭＳ Ｐゴシック"/>
    </font>
    <font>
      <b/>
      <sz val="13"/>
      <color rgb="FF7F6000"/>
      <name val="Times New Roman"/>
      <family val="1"/>
    </font>
    <font>
      <b/>
      <sz val="16"/>
      <color rgb="FFFFFFFF"/>
      <name val="Calibri"/>
      <family val="2"/>
    </font>
    <font>
      <b/>
      <sz val="13"/>
      <color rgb="FF006100"/>
      <name val="Times New Roman"/>
      <family val="1"/>
    </font>
    <font>
      <b/>
      <sz val="16"/>
      <color rgb="FFFFFFFF"/>
      <name val="ＭＳ Ｐゴシック"/>
    </font>
    <font>
      <b/>
      <sz val="11"/>
      <name val="ＭＳ Ｐゴシック"/>
    </font>
    <font>
      <b/>
      <sz val="11"/>
      <color rgb="FF006100"/>
      <name val="ＭＳ Ｐゴシック"/>
    </font>
    <font>
      <b/>
      <sz val="11"/>
      <color rgb="FF7F6000"/>
      <name val="ＭＳ Ｐゴシック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1D4ED8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53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/>
    </xf>
    <xf numFmtId="0" fontId="11" fillId="3" borderId="10" xfId="0" applyFont="1" applyFill="1" applyBorder="1"/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2" fontId="0" fillId="0" borderId="0" xfId="0" applyNumberFormat="1"/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2" fontId="0" fillId="0" borderId="0" xfId="0" applyNumberFormat="1" applyAlignment="1">
      <alignment vertical="top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26" xfId="0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2" borderId="0" xfId="0" applyFont="1" applyFill="1" applyAlignment="1">
      <alignment horizontal="center" wrapText="1"/>
    </xf>
    <xf numFmtId="0" fontId="15" fillId="0" borderId="28" xfId="0" applyFont="1" applyBorder="1" applyAlignment="1">
      <alignment vertical="top" wrapText="1"/>
    </xf>
    <xf numFmtId="0" fontId="15" fillId="0" borderId="34" xfId="0" applyFont="1" applyBorder="1" applyAlignment="1">
      <alignment vertical="top" wrapText="1"/>
    </xf>
    <xf numFmtId="0" fontId="17" fillId="4" borderId="27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wrapText="1"/>
    </xf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/>
    <xf numFmtId="0" fontId="19" fillId="0" borderId="0" xfId="0" applyFont="1"/>
    <xf numFmtId="0" fontId="15" fillId="0" borderId="0" xfId="0" applyFont="1" applyAlignment="1">
      <alignment vertical="center"/>
    </xf>
    <xf numFmtId="164" fontId="20" fillId="3" borderId="12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22" fillId="6" borderId="29" xfId="0" applyFont="1" applyFill="1" applyBorder="1" applyAlignment="1">
      <alignment horizontal="center"/>
    </xf>
    <xf numFmtId="0" fontId="22" fillId="6" borderId="30" xfId="0" applyFont="1" applyFill="1" applyBorder="1" applyAlignment="1">
      <alignment horizontal="center"/>
    </xf>
    <xf numFmtId="2" fontId="23" fillId="0" borderId="0" xfId="0" applyNumberFormat="1" applyFont="1" applyAlignment="1">
      <alignment horizontal="right" wrapText="1"/>
    </xf>
    <xf numFmtId="1" fontId="26" fillId="5" borderId="16" xfId="0" applyNumberFormat="1" applyFont="1" applyFill="1" applyBorder="1" applyAlignment="1">
      <alignment horizontal="center" wrapText="1"/>
    </xf>
    <xf numFmtId="164" fontId="15" fillId="0" borderId="7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5" fontId="15" fillId="0" borderId="6" xfId="0" applyNumberFormat="1" applyFont="1" applyBorder="1" applyAlignment="1">
      <alignment horizontal="left" vertical="center" wrapText="1"/>
    </xf>
    <xf numFmtId="15" fontId="15" fillId="0" borderId="6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33" xfId="0" applyFont="1" applyBorder="1" applyAlignment="1">
      <alignment horizontal="center" vertical="top" wrapText="1"/>
    </xf>
    <xf numFmtId="0" fontId="27" fillId="0" borderId="33" xfId="0" applyFont="1" applyBorder="1" applyAlignment="1">
      <alignment horizontal="center" vertical="top" wrapText="1"/>
    </xf>
    <xf numFmtId="0" fontId="15" fillId="0" borderId="28" xfId="0" applyFont="1" applyBorder="1" applyAlignment="1">
      <alignment horizontal="center" vertical="top" wrapText="1"/>
    </xf>
    <xf numFmtId="14" fontId="15" fillId="0" borderId="33" xfId="0" applyNumberFormat="1" applyFont="1" applyBorder="1" applyAlignment="1">
      <alignment horizontal="center" vertical="top" wrapText="1"/>
    </xf>
    <xf numFmtId="0" fontId="29" fillId="7" borderId="27" xfId="0" applyFont="1" applyFill="1" applyBorder="1" applyAlignment="1">
      <alignment horizontal="center" vertical="top" wrapText="1"/>
    </xf>
    <xf numFmtId="0" fontId="29" fillId="7" borderId="35" xfId="0" applyFont="1" applyFill="1" applyBorder="1" applyAlignment="1">
      <alignment horizontal="center" vertical="top" wrapText="1"/>
    </xf>
    <xf numFmtId="0" fontId="29" fillId="7" borderId="36" xfId="0" applyFont="1" applyFill="1" applyBorder="1" applyAlignment="1">
      <alignment horizontal="center" vertical="top" wrapText="1"/>
    </xf>
    <xf numFmtId="0" fontId="29" fillId="7" borderId="37" xfId="0" applyFont="1" applyFill="1" applyBorder="1" applyAlignment="1">
      <alignment horizontal="center" vertical="top" wrapText="1"/>
    </xf>
    <xf numFmtId="0" fontId="29" fillId="7" borderId="28" xfId="0" applyFont="1" applyFill="1" applyBorder="1" applyAlignment="1">
      <alignment horizontal="center" vertical="top" wrapText="1"/>
    </xf>
    <xf numFmtId="0" fontId="29" fillId="7" borderId="0" xfId="0" applyFont="1" applyFill="1" applyAlignment="1">
      <alignment horizontal="center" vertical="top" wrapText="1"/>
    </xf>
    <xf numFmtId="0" fontId="28" fillId="9" borderId="1" xfId="0" applyFont="1" applyFill="1" applyBorder="1" applyAlignment="1">
      <alignment horizontal="center" vertical="top" wrapText="1"/>
    </xf>
    <xf numFmtId="0" fontId="0" fillId="10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5" fillId="2" borderId="0" xfId="0" applyFont="1" applyFill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/>
    </xf>
    <xf numFmtId="0" fontId="4" fillId="2" borderId="19" xfId="2" applyFont="1" applyFill="1" applyBorder="1" applyAlignment="1">
      <alignment horizontal="left" vertical="center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3" xfId="2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21" fillId="2" borderId="21" xfId="2" applyFont="1" applyFill="1" applyBorder="1" applyAlignment="1">
      <alignment horizontal="left" wrapText="1"/>
    </xf>
    <xf numFmtId="0" fontId="4" fillId="2" borderId="21" xfId="2" applyFont="1" applyFill="1" applyBorder="1" applyAlignment="1">
      <alignment horizontal="left" wrapText="1"/>
    </xf>
    <xf numFmtId="0" fontId="4" fillId="2" borderId="22" xfId="2" applyFont="1" applyFill="1" applyBorder="1" applyAlignment="1">
      <alignment horizontal="left" wrapText="1"/>
    </xf>
    <xf numFmtId="0" fontId="4" fillId="2" borderId="19" xfId="2" applyFont="1" applyFill="1" applyBorder="1" applyAlignment="1">
      <alignment horizontal="left" vertical="top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vertical="top" wrapText="1"/>
    </xf>
    <xf numFmtId="0" fontId="21" fillId="5" borderId="31" xfId="2" applyFont="1" applyFill="1" applyBorder="1" applyAlignment="1">
      <alignment horizontal="left" vertical="center" wrapText="1"/>
    </xf>
    <xf numFmtId="0" fontId="21" fillId="5" borderId="32" xfId="2" applyFont="1" applyFill="1" applyBorder="1" applyAlignment="1">
      <alignment horizontal="left" vertical="center" wrapText="1"/>
    </xf>
    <xf numFmtId="0" fontId="30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1" fillId="11" borderId="27" xfId="0" applyFont="1" applyFill="1" applyBorder="1" applyAlignment="1">
      <alignment horizontal="center" vertical="top" wrapText="1"/>
    </xf>
    <xf numFmtId="0" fontId="31" fillId="11" borderId="35" xfId="0" applyFont="1" applyFill="1" applyBorder="1" applyAlignment="1">
      <alignment horizontal="center" vertical="top" wrapText="1"/>
    </xf>
    <xf numFmtId="0" fontId="31" fillId="11" borderId="37" xfId="0" applyFont="1" applyFill="1" applyBorder="1" applyAlignment="1">
      <alignment horizontal="center" vertical="top" wrapText="1"/>
    </xf>
    <xf numFmtId="0" fontId="31" fillId="11" borderId="0" xfId="0" applyFont="1" applyFill="1" applyAlignment="1">
      <alignment horizontal="center" vertical="top" wrapText="1"/>
    </xf>
    <xf numFmtId="0" fontId="32" fillId="8" borderId="0" xfId="0" applyFont="1" applyFill="1" applyAlignment="1">
      <alignment horizontal="center"/>
    </xf>
    <xf numFmtId="0" fontId="28" fillId="9" borderId="1" xfId="0" applyFont="1" applyFill="1" applyBorder="1" applyAlignment="1">
      <alignment vertical="top" wrapText="1"/>
    </xf>
    <xf numFmtId="0" fontId="34" fillId="11" borderId="1" xfId="0" applyFont="1" applyFill="1" applyBorder="1" applyAlignment="1">
      <alignment horizontal="center" vertical="top" wrapText="1"/>
    </xf>
    <xf numFmtId="0" fontId="35" fillId="7" borderId="1" xfId="0" applyFont="1" applyFill="1" applyBorder="1" applyAlignment="1">
      <alignment horizontal="center" vertical="top" wrapText="1"/>
    </xf>
    <xf numFmtId="0" fontId="33" fillId="12" borderId="1" xfId="0" applyFont="1" applyFill="1" applyBorder="1" applyAlignment="1">
      <alignment horizontal="center" vertical="top" wrapText="1"/>
    </xf>
  </cellXfs>
  <cellStyles count="4">
    <cellStyle name="Normal" xfId="0" builtinId="0"/>
    <cellStyle name="Normal_Functional Test Case v1.0" xfId="1" xr:uid="{00000000-0005-0000-0000-000001000000}"/>
    <cellStyle name="Normal_Sheet1_Vanco_CR022a1_TestCase_v0.1" xfId="2" xr:uid="{00000000-0005-0000-0000-000002000000}"/>
    <cellStyle name="標準_結合試験(AllOvertheWorld)" xfId="3" xr:uid="{00000000-0005-0000-0000-000003000000}"/>
  </cellStyles>
  <dxfs count="7">
    <dxf>
      <font>
        <color rgb="FF1E40AF"/>
      </font>
      <fill>
        <patternFill>
          <bgColor rgb="FFDBEAFE"/>
        </patternFill>
      </fill>
    </dxf>
    <dxf>
      <font>
        <color rgb="FF78350F"/>
      </font>
      <fill>
        <patternFill>
          <bgColor rgb="FFFDE68A"/>
        </patternFill>
      </fill>
    </dxf>
    <dxf>
      <font>
        <b/>
        <color rgb="FF7F1D1D"/>
      </font>
      <fill>
        <patternFill>
          <bgColor rgb="FFFCA5A5"/>
        </patternFill>
      </fill>
    </dxf>
    <dxf>
      <font>
        <b/>
        <color rgb="FFFFFFFF"/>
      </font>
      <fill>
        <patternFill>
          <bgColor rgb="FF7F1D1D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/>
  </sheetViews>
  <sheetFormatPr defaultColWidth="9"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2" spans="1:8" ht="22.5">
      <c r="A2" s="23"/>
      <c r="B2" s="24" t="s">
        <v>0</v>
      </c>
      <c r="C2" s="23"/>
      <c r="D2" s="23"/>
      <c r="E2" s="23"/>
      <c r="F2" s="23"/>
      <c r="G2" s="23"/>
    </row>
    <row r="3" spans="1:8">
      <c r="A3" s="23"/>
      <c r="B3" s="25" t="s">
        <v>1</v>
      </c>
      <c r="C3" s="53">
        <v>1</v>
      </c>
      <c r="D3" s="26"/>
      <c r="E3" s="23"/>
      <c r="F3" s="23"/>
      <c r="G3" s="23"/>
    </row>
    <row r="4" spans="1:8">
      <c r="A4" s="23"/>
      <c r="B4" s="25" t="s">
        <v>2</v>
      </c>
      <c r="C4" s="10" t="s">
        <v>370</v>
      </c>
      <c r="D4" s="10"/>
      <c r="E4" s="23"/>
      <c r="F4" s="23"/>
      <c r="G4" s="23"/>
    </row>
    <row r="5" spans="1:8" ht="7.5" customHeight="1">
      <c r="A5" s="23"/>
      <c r="B5" s="25"/>
      <c r="C5" s="26"/>
      <c r="D5" s="26"/>
      <c r="E5" s="23"/>
      <c r="F5" s="23"/>
      <c r="G5" s="23"/>
    </row>
    <row r="6" spans="1:8" ht="26.25" customHeight="1">
      <c r="A6" s="23"/>
      <c r="B6" s="25" t="s">
        <v>3</v>
      </c>
      <c r="C6" s="140" t="s">
        <v>371</v>
      </c>
      <c r="D6" s="140"/>
      <c r="E6" s="141"/>
      <c r="F6" s="23"/>
      <c r="G6" s="23"/>
    </row>
    <row r="7" spans="1:8">
      <c r="A7" s="23"/>
      <c r="B7" s="25" t="s">
        <v>4</v>
      </c>
      <c r="C7" s="135" t="s">
        <v>372</v>
      </c>
      <c r="D7" s="135"/>
      <c r="E7" s="136"/>
      <c r="F7" s="23"/>
      <c r="G7" s="23"/>
    </row>
    <row r="8" spans="1:8">
      <c r="A8" s="23"/>
      <c r="B8" s="25"/>
      <c r="C8" s="23"/>
      <c r="D8" s="23"/>
      <c r="E8" s="23"/>
      <c r="F8" s="23"/>
      <c r="G8" s="23"/>
    </row>
    <row r="9" spans="1:8" ht="16.5">
      <c r="A9" s="23"/>
      <c r="B9" s="90"/>
      <c r="C9" s="18"/>
      <c r="D9" s="18"/>
      <c r="E9" s="18"/>
      <c r="F9" s="23"/>
      <c r="G9" s="23"/>
    </row>
    <row r="10" spans="1:8" ht="16.5">
      <c r="A10" s="90"/>
      <c r="B10" s="91" t="s">
        <v>5</v>
      </c>
      <c r="C10" s="90"/>
      <c r="D10" s="90"/>
      <c r="E10" s="90"/>
      <c r="F10" s="90"/>
      <c r="G10" s="90"/>
      <c r="H10" s="90"/>
    </row>
    <row r="11" spans="1:8" s="32" customFormat="1" ht="33">
      <c r="A11" s="92"/>
      <c r="B11" s="93" t="s">
        <v>6</v>
      </c>
      <c r="C11" s="94" t="s">
        <v>7</v>
      </c>
      <c r="D11" s="94" t="s">
        <v>8</v>
      </c>
      <c r="E11" s="94" t="s">
        <v>9</v>
      </c>
      <c r="F11" s="94" t="s">
        <v>10</v>
      </c>
      <c r="G11" s="95" t="s">
        <v>11</v>
      </c>
      <c r="H11" s="96" t="s">
        <v>12</v>
      </c>
    </row>
    <row r="12" spans="1:8" s="32" customFormat="1" ht="48" customHeight="1">
      <c r="B12" s="103" t="s">
        <v>370</v>
      </c>
      <c r="C12" s="104" t="s">
        <v>373</v>
      </c>
      <c r="D12" s="105" t="s">
        <v>374</v>
      </c>
      <c r="E12" s="106" t="s">
        <v>375</v>
      </c>
      <c r="F12" s="107" t="s">
        <v>376</v>
      </c>
      <c r="G12" s="97" t="s">
        <v>377</v>
      </c>
      <c r="H12" s="98" t="s">
        <v>378</v>
      </c>
    </row>
    <row r="13" spans="1:8" s="32" customFormat="1">
      <c r="B13" s="77"/>
      <c r="C13" s="35"/>
      <c r="D13" s="36"/>
      <c r="E13" s="37"/>
      <c r="F13" s="64"/>
      <c r="G13" s="76"/>
      <c r="H13" s="69"/>
    </row>
    <row r="14" spans="1:8" s="33" customFormat="1" ht="12.75">
      <c r="B14" s="34"/>
      <c r="C14" s="35"/>
      <c r="D14" s="36"/>
      <c r="E14" s="37"/>
      <c r="F14" s="64"/>
      <c r="G14" s="76"/>
      <c r="H14" s="69"/>
    </row>
    <row r="15" spans="1:8" s="33" customFormat="1" ht="12.75">
      <c r="B15" s="40"/>
      <c r="C15" s="41"/>
      <c r="D15" s="38"/>
      <c r="E15" s="38"/>
      <c r="F15" s="38"/>
      <c r="G15" s="38"/>
      <c r="H15" s="39"/>
    </row>
    <row r="16" spans="1:8" s="32" customFormat="1">
      <c r="B16" s="34"/>
      <c r="C16" s="35"/>
      <c r="D16" s="36"/>
      <c r="E16" s="38"/>
      <c r="F16" s="38"/>
      <c r="G16" s="38"/>
      <c r="H16" s="42"/>
    </row>
    <row r="17" spans="2:8" s="32" customFormat="1">
      <c r="B17" s="40"/>
      <c r="C17" s="41"/>
      <c r="D17" s="38"/>
      <c r="E17" s="38"/>
      <c r="F17" s="38"/>
      <c r="G17" s="38"/>
      <c r="H17" s="39"/>
    </row>
    <row r="18" spans="2:8" s="32" customFormat="1">
      <c r="B18" s="40"/>
      <c r="C18" s="41"/>
      <c r="D18" s="38"/>
      <c r="E18" s="38"/>
      <c r="F18" s="38"/>
      <c r="G18" s="38"/>
      <c r="H18" s="39"/>
    </row>
    <row r="19" spans="2:8" s="32" customFormat="1">
      <c r="B19" s="40"/>
      <c r="C19" s="41"/>
      <c r="D19" s="38"/>
      <c r="E19" s="38"/>
      <c r="F19" s="38"/>
      <c r="G19" s="38"/>
      <c r="H19" s="39"/>
    </row>
    <row r="20" spans="2:8" s="32" customFormat="1">
      <c r="B20" s="40"/>
      <c r="C20" s="41"/>
      <c r="D20" s="38"/>
      <c r="E20" s="38"/>
      <c r="F20" s="38"/>
      <c r="G20" s="38"/>
      <c r="H20" s="39"/>
    </row>
    <row r="21" spans="2:8" s="32" customFormat="1">
      <c r="B21" s="40"/>
      <c r="C21" s="41"/>
      <c r="D21" s="38"/>
      <c r="E21" s="38"/>
      <c r="F21" s="38"/>
      <c r="G21" s="38"/>
      <c r="H21" s="39"/>
    </row>
    <row r="22" spans="2:8" s="32" customFormat="1">
      <c r="B22" s="40"/>
      <c r="C22" s="41"/>
      <c r="D22" s="38"/>
      <c r="E22" s="38"/>
      <c r="F22" s="38"/>
      <c r="G22" s="38"/>
      <c r="H22" s="39"/>
    </row>
    <row r="23" spans="2:8" s="32" customFormat="1">
      <c r="B23" s="43"/>
      <c r="C23" s="44"/>
      <c r="D23" s="45"/>
      <c r="E23" s="45"/>
      <c r="F23" s="45"/>
      <c r="G23" s="45"/>
      <c r="H23" s="46"/>
    </row>
  </sheetData>
  <mergeCells count="2">
    <mergeCell ref="C6:E6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DD0C-7F35-4FD2-955D-6A7412325118}">
  <sheetPr>
    <pageSetUpPr fitToPage="1"/>
  </sheetPr>
  <dimension ref="A1:F41"/>
  <sheetViews>
    <sheetView workbookViewId="0"/>
  </sheetViews>
  <sheetFormatPr defaultRowHeight="13.5"/>
  <cols>
    <col min="1" max="1" width="7.625" customWidth="1"/>
    <col min="2" max="2" width="27.625" customWidth="1"/>
    <col min="3" max="3" width="62.625" customWidth="1"/>
    <col min="4" max="4" width="44.625" customWidth="1"/>
    <col min="5" max="5" width="22.625" customWidth="1"/>
    <col min="6" max="6" width="13.625" customWidth="1"/>
  </cols>
  <sheetData>
    <row r="1" spans="1:6" ht="30" customHeight="1">
      <c r="A1" s="142" t="s">
        <v>371</v>
      </c>
      <c r="B1" s="143"/>
      <c r="C1" s="143"/>
      <c r="D1" s="143"/>
      <c r="E1" s="143"/>
      <c r="F1" s="143"/>
    </row>
    <row r="2" spans="1:6" ht="27.95" customHeight="1">
      <c r="A2" s="120" t="s">
        <v>1801</v>
      </c>
      <c r="B2" s="120" t="s">
        <v>21</v>
      </c>
      <c r="C2" s="120" t="s">
        <v>1802</v>
      </c>
      <c r="D2" s="120" t="s">
        <v>1803</v>
      </c>
      <c r="E2" s="120" t="s">
        <v>1804</v>
      </c>
      <c r="F2" s="120" t="s">
        <v>1805</v>
      </c>
    </row>
    <row r="3" spans="1:6" ht="45" customHeight="1">
      <c r="A3" s="121">
        <v>1</v>
      </c>
      <c r="B3" s="122" t="s">
        <v>381</v>
      </c>
      <c r="C3" s="122" t="s">
        <v>1806</v>
      </c>
      <c r="D3" s="122" t="s">
        <v>1807</v>
      </c>
      <c r="E3" s="122" t="s">
        <v>1808</v>
      </c>
      <c r="F3" s="123" t="s">
        <v>35</v>
      </c>
    </row>
    <row r="4" spans="1:6" ht="45" customHeight="1">
      <c r="A4" s="123">
        <v>2</v>
      </c>
      <c r="B4" s="122" t="s">
        <v>400</v>
      </c>
      <c r="C4" s="122" t="s">
        <v>1809</v>
      </c>
      <c r="D4" s="122" t="s">
        <v>1810</v>
      </c>
      <c r="E4" s="122" t="s">
        <v>1811</v>
      </c>
      <c r="F4" s="123" t="s">
        <v>31</v>
      </c>
    </row>
    <row r="5" spans="1:6" ht="45" customHeight="1">
      <c r="A5" s="121">
        <v>3</v>
      </c>
      <c r="B5" s="122" t="s">
        <v>448</v>
      </c>
      <c r="C5" s="122" t="s">
        <v>1812</v>
      </c>
      <c r="D5" s="122" t="s">
        <v>1813</v>
      </c>
      <c r="E5" s="122" t="s">
        <v>1814</v>
      </c>
      <c r="F5" s="123" t="s">
        <v>31</v>
      </c>
    </row>
    <row r="6" spans="1:6" ht="45" customHeight="1">
      <c r="A6" s="123">
        <v>4</v>
      </c>
      <c r="B6" s="122" t="s">
        <v>503</v>
      </c>
      <c r="C6" s="122" t="s">
        <v>1815</v>
      </c>
      <c r="D6" s="122" t="s">
        <v>1816</v>
      </c>
      <c r="E6" s="122" t="s">
        <v>1817</v>
      </c>
      <c r="F6" s="123" t="s">
        <v>35</v>
      </c>
    </row>
    <row r="7" spans="1:6" ht="45" customHeight="1">
      <c r="A7" s="121">
        <v>5</v>
      </c>
      <c r="B7" s="122" t="s">
        <v>525</v>
      </c>
      <c r="C7" s="122" t="s">
        <v>1818</v>
      </c>
      <c r="D7" s="122" t="s">
        <v>1819</v>
      </c>
      <c r="E7" s="122" t="s">
        <v>1820</v>
      </c>
      <c r="F7" s="123" t="s">
        <v>35</v>
      </c>
    </row>
    <row r="8" spans="1:6" ht="45" customHeight="1">
      <c r="A8" s="123">
        <v>6</v>
      </c>
      <c r="B8" s="122" t="s">
        <v>544</v>
      </c>
      <c r="C8" s="122" t="s">
        <v>1821</v>
      </c>
      <c r="D8" s="122" t="s">
        <v>1822</v>
      </c>
      <c r="E8" s="122" t="s">
        <v>1823</v>
      </c>
      <c r="F8" s="123" t="s">
        <v>31</v>
      </c>
    </row>
    <row r="9" spans="1:6" ht="45" customHeight="1">
      <c r="A9" s="121">
        <v>7</v>
      </c>
      <c r="B9" s="122" t="s">
        <v>57</v>
      </c>
      <c r="C9" s="122" t="s">
        <v>1824</v>
      </c>
      <c r="D9" s="122" t="s">
        <v>1825</v>
      </c>
      <c r="E9" s="122" t="s">
        <v>1823</v>
      </c>
      <c r="F9" s="123" t="s">
        <v>35</v>
      </c>
    </row>
    <row r="10" spans="1:6" ht="45" customHeight="1">
      <c r="A10" s="123">
        <v>8</v>
      </c>
      <c r="B10" s="122" t="s">
        <v>637</v>
      </c>
      <c r="C10" s="122" t="s">
        <v>1826</v>
      </c>
      <c r="D10" s="122" t="s">
        <v>1827</v>
      </c>
      <c r="E10" s="122" t="s">
        <v>1823</v>
      </c>
      <c r="F10" s="123" t="s">
        <v>35</v>
      </c>
    </row>
    <row r="11" spans="1:6" ht="45" customHeight="1">
      <c r="A11" s="121">
        <v>9</v>
      </c>
      <c r="B11" s="122" t="s">
        <v>680</v>
      </c>
      <c r="C11" s="122" t="s">
        <v>1828</v>
      </c>
      <c r="D11" s="122" t="s">
        <v>1829</v>
      </c>
      <c r="E11" s="122" t="s">
        <v>1830</v>
      </c>
      <c r="F11" s="123" t="s">
        <v>35</v>
      </c>
    </row>
    <row r="12" spans="1:6" ht="45" customHeight="1">
      <c r="A12" s="123">
        <v>10</v>
      </c>
      <c r="B12" s="122" t="s">
        <v>717</v>
      </c>
      <c r="C12" s="122" t="s">
        <v>1831</v>
      </c>
      <c r="D12" s="122" t="s">
        <v>1832</v>
      </c>
      <c r="E12" s="122" t="s">
        <v>1823</v>
      </c>
      <c r="F12" s="123" t="s">
        <v>31</v>
      </c>
    </row>
    <row r="13" spans="1:6" ht="45" customHeight="1">
      <c r="A13" s="121">
        <v>11</v>
      </c>
      <c r="B13" s="122" t="s">
        <v>742</v>
      </c>
      <c r="C13" s="122" t="s">
        <v>1833</v>
      </c>
      <c r="D13" s="122" t="s">
        <v>1834</v>
      </c>
      <c r="E13" s="122" t="s">
        <v>1835</v>
      </c>
      <c r="F13" s="123" t="s">
        <v>35</v>
      </c>
    </row>
    <row r="14" spans="1:6" ht="45" customHeight="1">
      <c r="A14" s="123">
        <v>12</v>
      </c>
      <c r="B14" s="122" t="s">
        <v>764</v>
      </c>
      <c r="C14" s="122" t="s">
        <v>1836</v>
      </c>
      <c r="D14" s="122" t="s">
        <v>1837</v>
      </c>
      <c r="E14" s="122" t="s">
        <v>1823</v>
      </c>
      <c r="F14" s="123" t="s">
        <v>31</v>
      </c>
    </row>
    <row r="15" spans="1:6" ht="45" customHeight="1">
      <c r="A15" s="121">
        <v>13</v>
      </c>
      <c r="B15" s="122" t="s">
        <v>806</v>
      </c>
      <c r="C15" s="122" t="s">
        <v>1838</v>
      </c>
      <c r="D15" s="122" t="s">
        <v>1839</v>
      </c>
      <c r="E15" s="122" t="s">
        <v>1830</v>
      </c>
      <c r="F15" s="123" t="s">
        <v>31</v>
      </c>
    </row>
    <row r="16" spans="1:6" ht="45" customHeight="1">
      <c r="A16" s="123">
        <v>14</v>
      </c>
      <c r="B16" s="122" t="s">
        <v>843</v>
      </c>
      <c r="C16" s="122" t="s">
        <v>1840</v>
      </c>
      <c r="D16" s="122" t="s">
        <v>1841</v>
      </c>
      <c r="E16" s="122" t="s">
        <v>1835</v>
      </c>
      <c r="F16" s="123" t="s">
        <v>31</v>
      </c>
    </row>
    <row r="17" spans="1:6" ht="45" customHeight="1">
      <c r="A17" s="121">
        <v>15</v>
      </c>
      <c r="B17" s="122" t="s">
        <v>886</v>
      </c>
      <c r="C17" s="122" t="s">
        <v>1842</v>
      </c>
      <c r="D17" s="122" t="s">
        <v>1843</v>
      </c>
      <c r="E17" s="122" t="s">
        <v>1844</v>
      </c>
      <c r="F17" s="123" t="s">
        <v>31</v>
      </c>
    </row>
    <row r="18" spans="1:6" ht="45" customHeight="1">
      <c r="A18" s="123">
        <v>16</v>
      </c>
      <c r="B18" s="122" t="s">
        <v>938</v>
      </c>
      <c r="C18" s="122" t="s">
        <v>1845</v>
      </c>
      <c r="D18" s="122" t="s">
        <v>1846</v>
      </c>
      <c r="E18" s="122" t="s">
        <v>1835</v>
      </c>
      <c r="F18" s="123" t="s">
        <v>35</v>
      </c>
    </row>
    <row r="19" spans="1:6" ht="45" customHeight="1">
      <c r="A19" s="121">
        <v>17</v>
      </c>
      <c r="B19" s="122" t="s">
        <v>955</v>
      </c>
      <c r="C19" s="122" t="s">
        <v>1847</v>
      </c>
      <c r="D19" s="122" t="s">
        <v>1848</v>
      </c>
      <c r="E19" s="122" t="s">
        <v>1849</v>
      </c>
      <c r="F19" s="123" t="s">
        <v>31</v>
      </c>
    </row>
    <row r="20" spans="1:6" ht="45" customHeight="1">
      <c r="A20" s="123">
        <v>18</v>
      </c>
      <c r="B20" s="122" t="s">
        <v>974</v>
      </c>
      <c r="C20" s="122" t="s">
        <v>1850</v>
      </c>
      <c r="D20" s="122" t="s">
        <v>1851</v>
      </c>
      <c r="E20" s="122" t="s">
        <v>1835</v>
      </c>
      <c r="F20" s="123" t="s">
        <v>31</v>
      </c>
    </row>
    <row r="21" spans="1:6" ht="45" customHeight="1">
      <c r="A21" s="121">
        <v>19</v>
      </c>
      <c r="B21" s="122" t="s">
        <v>1033</v>
      </c>
      <c r="C21" s="122" t="s">
        <v>1852</v>
      </c>
      <c r="D21" s="122" t="s">
        <v>1853</v>
      </c>
      <c r="E21" s="122" t="s">
        <v>1817</v>
      </c>
      <c r="F21" s="123" t="s">
        <v>35</v>
      </c>
    </row>
    <row r="22" spans="1:6" ht="45" customHeight="1">
      <c r="A22" s="123">
        <v>20</v>
      </c>
      <c r="B22" s="122" t="s">
        <v>1082</v>
      </c>
      <c r="C22" s="122" t="s">
        <v>1854</v>
      </c>
      <c r="D22" s="122" t="s">
        <v>1855</v>
      </c>
      <c r="E22" s="122" t="s">
        <v>1835</v>
      </c>
      <c r="F22" s="123" t="s">
        <v>31</v>
      </c>
    </row>
    <row r="23" spans="1:6" ht="45" customHeight="1">
      <c r="A23" s="121">
        <v>21</v>
      </c>
      <c r="B23" s="122" t="s">
        <v>1098</v>
      </c>
      <c r="C23" s="122" t="s">
        <v>1856</v>
      </c>
      <c r="D23" s="122" t="s">
        <v>1857</v>
      </c>
      <c r="E23" s="122" t="s">
        <v>1835</v>
      </c>
      <c r="F23" s="123" t="s">
        <v>35</v>
      </c>
    </row>
    <row r="24" spans="1:6" ht="45" customHeight="1">
      <c r="A24" s="123">
        <v>22</v>
      </c>
      <c r="B24" s="122" t="s">
        <v>1126</v>
      </c>
      <c r="C24" s="122" t="s">
        <v>1858</v>
      </c>
      <c r="D24" s="122" t="s">
        <v>1859</v>
      </c>
      <c r="E24" s="122" t="s">
        <v>1860</v>
      </c>
      <c r="F24" s="123" t="s">
        <v>31</v>
      </c>
    </row>
    <row r="25" spans="1:6" ht="45" customHeight="1">
      <c r="A25" s="121">
        <v>23</v>
      </c>
      <c r="B25" s="122" t="s">
        <v>1172</v>
      </c>
      <c r="C25" s="122" t="s">
        <v>1861</v>
      </c>
      <c r="D25" s="122" t="s">
        <v>1862</v>
      </c>
      <c r="E25" s="122" t="s">
        <v>1863</v>
      </c>
      <c r="F25" s="123" t="s">
        <v>31</v>
      </c>
    </row>
    <row r="26" spans="1:6" ht="45" customHeight="1">
      <c r="A26" s="123">
        <v>24</v>
      </c>
      <c r="B26" s="122" t="s">
        <v>1211</v>
      </c>
      <c r="C26" s="122" t="s">
        <v>1864</v>
      </c>
      <c r="D26" s="122" t="s">
        <v>1865</v>
      </c>
      <c r="E26" s="122" t="s">
        <v>1860</v>
      </c>
      <c r="F26" s="123" t="s">
        <v>35</v>
      </c>
    </row>
    <row r="27" spans="1:6" ht="45" customHeight="1">
      <c r="A27" s="121">
        <v>25</v>
      </c>
      <c r="B27" s="122" t="s">
        <v>1226</v>
      </c>
      <c r="C27" s="122" t="s">
        <v>1866</v>
      </c>
      <c r="D27" s="122" t="s">
        <v>1867</v>
      </c>
      <c r="E27" s="122" t="s">
        <v>1868</v>
      </c>
      <c r="F27" s="123" t="s">
        <v>35</v>
      </c>
    </row>
    <row r="28" spans="1:6" ht="45" customHeight="1">
      <c r="A28" s="123">
        <v>26</v>
      </c>
      <c r="B28" s="122" t="s">
        <v>1250</v>
      </c>
      <c r="C28" s="122" t="s">
        <v>1869</v>
      </c>
      <c r="D28" s="122" t="s">
        <v>1870</v>
      </c>
      <c r="E28" s="122" t="s">
        <v>1871</v>
      </c>
      <c r="F28" s="123" t="s">
        <v>31</v>
      </c>
    </row>
    <row r="29" spans="1:6" ht="45" customHeight="1">
      <c r="A29" s="121">
        <v>27</v>
      </c>
      <c r="B29" s="122" t="s">
        <v>1281</v>
      </c>
      <c r="C29" s="122" t="s">
        <v>1872</v>
      </c>
      <c r="D29" s="122" t="s">
        <v>1873</v>
      </c>
      <c r="E29" s="122" t="s">
        <v>1874</v>
      </c>
      <c r="F29" s="123" t="s">
        <v>31</v>
      </c>
    </row>
    <row r="30" spans="1:6" ht="45" customHeight="1">
      <c r="A30" s="123">
        <v>28</v>
      </c>
      <c r="B30" s="122" t="s">
        <v>1336</v>
      </c>
      <c r="C30" s="122" t="s">
        <v>1875</v>
      </c>
      <c r="D30" s="122" t="s">
        <v>1876</v>
      </c>
      <c r="E30" s="122" t="s">
        <v>1877</v>
      </c>
      <c r="F30" s="123" t="s">
        <v>31</v>
      </c>
    </row>
    <row r="31" spans="1:6" ht="45" customHeight="1">
      <c r="A31" s="121">
        <v>29</v>
      </c>
      <c r="B31" s="122" t="s">
        <v>1377</v>
      </c>
      <c r="C31" s="122" t="s">
        <v>1878</v>
      </c>
      <c r="D31" s="122" t="s">
        <v>1879</v>
      </c>
      <c r="E31" s="122" t="s">
        <v>1874</v>
      </c>
      <c r="F31" s="123" t="s">
        <v>35</v>
      </c>
    </row>
    <row r="32" spans="1:6" ht="45" customHeight="1">
      <c r="A32" s="123">
        <v>30</v>
      </c>
      <c r="B32" s="122" t="s">
        <v>1415</v>
      </c>
      <c r="C32" s="122" t="s">
        <v>1880</v>
      </c>
      <c r="D32" s="122" t="s">
        <v>1881</v>
      </c>
      <c r="E32" s="122" t="s">
        <v>1882</v>
      </c>
      <c r="F32" s="123" t="s">
        <v>35</v>
      </c>
    </row>
    <row r="33" spans="1:6" ht="45" customHeight="1">
      <c r="A33" s="121">
        <v>31</v>
      </c>
      <c r="B33" s="122" t="s">
        <v>1448</v>
      </c>
      <c r="C33" s="122" t="s">
        <v>1883</v>
      </c>
      <c r="D33" s="122" t="s">
        <v>1884</v>
      </c>
      <c r="E33" s="122" t="s">
        <v>1823</v>
      </c>
      <c r="F33" s="123" t="s">
        <v>35</v>
      </c>
    </row>
    <row r="34" spans="1:6" ht="45" customHeight="1">
      <c r="A34" s="123">
        <v>32</v>
      </c>
      <c r="B34" s="122" t="s">
        <v>1512</v>
      </c>
      <c r="C34" s="122" t="s">
        <v>1885</v>
      </c>
      <c r="D34" s="122" t="s">
        <v>1886</v>
      </c>
      <c r="E34" s="122" t="s">
        <v>1830</v>
      </c>
      <c r="F34" s="123" t="s">
        <v>33</v>
      </c>
    </row>
    <row r="35" spans="1:6" ht="45" customHeight="1">
      <c r="A35" s="121">
        <v>33</v>
      </c>
      <c r="B35" s="122" t="s">
        <v>1571</v>
      </c>
      <c r="C35" s="122" t="s">
        <v>1887</v>
      </c>
      <c r="D35" s="122" t="s">
        <v>1888</v>
      </c>
      <c r="E35" s="122" t="s">
        <v>1811</v>
      </c>
      <c r="F35" s="123" t="s">
        <v>33</v>
      </c>
    </row>
    <row r="36" spans="1:6" ht="45" customHeight="1">
      <c r="A36" s="123">
        <v>34</v>
      </c>
      <c r="B36" s="122" t="s">
        <v>1588</v>
      </c>
      <c r="C36" s="122" t="s">
        <v>1889</v>
      </c>
      <c r="D36" s="122" t="s">
        <v>1890</v>
      </c>
      <c r="E36" s="122" t="s">
        <v>1891</v>
      </c>
      <c r="F36" s="123" t="s">
        <v>35</v>
      </c>
    </row>
    <row r="37" spans="1:6" ht="45" customHeight="1">
      <c r="A37" s="121">
        <v>35</v>
      </c>
      <c r="B37" s="122" t="s">
        <v>1613</v>
      </c>
      <c r="C37" s="122" t="s">
        <v>1892</v>
      </c>
      <c r="D37" s="122" t="s">
        <v>1893</v>
      </c>
      <c r="E37" s="122" t="s">
        <v>1894</v>
      </c>
      <c r="F37" s="123" t="s">
        <v>31</v>
      </c>
    </row>
    <row r="38" spans="1:6" ht="45" customHeight="1">
      <c r="A38" s="123">
        <v>36</v>
      </c>
      <c r="B38" s="122" t="s">
        <v>1659</v>
      </c>
      <c r="C38" s="122" t="s">
        <v>1895</v>
      </c>
      <c r="D38" s="122" t="s">
        <v>1896</v>
      </c>
      <c r="E38" s="122" t="s">
        <v>1817</v>
      </c>
      <c r="F38" s="123" t="s">
        <v>35</v>
      </c>
    </row>
    <row r="39" spans="1:6" ht="45" customHeight="1">
      <c r="A39" s="121">
        <v>37</v>
      </c>
      <c r="B39" s="122" t="s">
        <v>1688</v>
      </c>
      <c r="C39" s="122" t="s">
        <v>1897</v>
      </c>
      <c r="D39" s="122" t="s">
        <v>1898</v>
      </c>
      <c r="E39" s="122" t="s">
        <v>1817</v>
      </c>
      <c r="F39" s="123" t="s">
        <v>35</v>
      </c>
    </row>
    <row r="40" spans="1:6" ht="45" customHeight="1">
      <c r="A40" s="123">
        <v>38</v>
      </c>
      <c r="B40" s="122" t="s">
        <v>1716</v>
      </c>
      <c r="C40" s="122" t="s">
        <v>1899</v>
      </c>
      <c r="D40" s="122" t="s">
        <v>1900</v>
      </c>
      <c r="E40" s="122" t="s">
        <v>1814</v>
      </c>
      <c r="F40" s="123" t="s">
        <v>31</v>
      </c>
    </row>
    <row r="41" spans="1:6" ht="45" customHeight="1">
      <c r="A41" s="121">
        <v>39</v>
      </c>
      <c r="B41" s="122" t="s">
        <v>1761</v>
      </c>
      <c r="C41" s="122" t="s">
        <v>1901</v>
      </c>
      <c r="D41" s="122" t="s">
        <v>1902</v>
      </c>
      <c r="E41" s="122" t="s">
        <v>1820</v>
      </c>
      <c r="F41" s="123" t="s">
        <v>35</v>
      </c>
    </row>
  </sheetData>
  <autoFilter ref="A2:F41" xr:uid="{6367DD0C-7F35-4FD2-955D-6A7412325118}"/>
  <mergeCells count="1">
    <mergeCell ref="A1:F1"/>
  </mergeCells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4D420-AF34-4A4B-BAC9-11C4A7C09DEA}">
  <dimension ref="A1:C18"/>
  <sheetViews>
    <sheetView workbookViewId="0"/>
  </sheetViews>
  <sheetFormatPr defaultRowHeight="13.5"/>
  <cols>
    <col min="1" max="1" width="32.625" customWidth="1"/>
    <col min="2" max="2" width="14.625" customWidth="1"/>
    <col min="3" max="3" width="95.625" customWidth="1"/>
  </cols>
  <sheetData>
    <row r="1" spans="1:3" ht="30" customHeight="1">
      <c r="A1" s="148" t="s">
        <v>1966</v>
      </c>
      <c r="B1" s="143"/>
      <c r="C1" s="143"/>
    </row>
    <row r="2" spans="1:3" ht="40.5">
      <c r="A2" s="149" t="s">
        <v>1967</v>
      </c>
      <c r="B2" s="149" t="s">
        <v>1968</v>
      </c>
      <c r="C2" s="149" t="s">
        <v>1969</v>
      </c>
    </row>
    <row r="3" spans="1:3" ht="48" customHeight="1">
      <c r="A3" s="122" t="s">
        <v>1970</v>
      </c>
      <c r="B3" s="150" t="s">
        <v>1971</v>
      </c>
      <c r="C3" s="122" t="s">
        <v>1972</v>
      </c>
    </row>
    <row r="4" spans="1:3" ht="48" customHeight="1">
      <c r="A4" s="122" t="s">
        <v>1973</v>
      </c>
      <c r="B4" s="150" t="s">
        <v>1971</v>
      </c>
      <c r="C4" s="122" t="s">
        <v>1974</v>
      </c>
    </row>
    <row r="5" spans="1:3" ht="48" customHeight="1">
      <c r="A5" s="122" t="s">
        <v>1975</v>
      </c>
      <c r="B5" s="150" t="s">
        <v>1971</v>
      </c>
      <c r="C5" s="122" t="s">
        <v>1976</v>
      </c>
    </row>
    <row r="6" spans="1:3" ht="48" customHeight="1">
      <c r="A6" s="122" t="s">
        <v>1977</v>
      </c>
      <c r="B6" s="150" t="s">
        <v>1971</v>
      </c>
      <c r="C6" s="122" t="s">
        <v>1978</v>
      </c>
    </row>
    <row r="7" spans="1:3" ht="48" customHeight="1">
      <c r="A7" s="122" t="s">
        <v>1979</v>
      </c>
      <c r="B7" s="150" t="s">
        <v>1971</v>
      </c>
      <c r="C7" s="122" t="s">
        <v>1980</v>
      </c>
    </row>
    <row r="8" spans="1:3" ht="48" customHeight="1">
      <c r="A8" s="122" t="s">
        <v>1981</v>
      </c>
      <c r="B8" s="150" t="s">
        <v>1971</v>
      </c>
      <c r="C8" s="122" t="s">
        <v>1982</v>
      </c>
    </row>
    <row r="9" spans="1:3" ht="48" customHeight="1">
      <c r="A9" s="122" t="s">
        <v>1983</v>
      </c>
      <c r="B9" s="150" t="s">
        <v>1971</v>
      </c>
      <c r="C9" s="122" t="s">
        <v>1984</v>
      </c>
    </row>
    <row r="10" spans="1:3" ht="48" customHeight="1">
      <c r="A10" s="122" t="s">
        <v>1985</v>
      </c>
      <c r="B10" s="150" t="s">
        <v>1971</v>
      </c>
      <c r="C10" s="122" t="s">
        <v>1986</v>
      </c>
    </row>
    <row r="11" spans="1:3" ht="48" customHeight="1">
      <c r="A11" s="122" t="s">
        <v>1987</v>
      </c>
      <c r="B11" s="150" t="s">
        <v>1971</v>
      </c>
      <c r="C11" s="122" t="s">
        <v>1988</v>
      </c>
    </row>
    <row r="12" spans="1:3" ht="48" customHeight="1">
      <c r="A12" s="122" t="s">
        <v>1989</v>
      </c>
      <c r="B12" s="150" t="s">
        <v>1971</v>
      </c>
      <c r="C12" s="122" t="s">
        <v>1990</v>
      </c>
    </row>
    <row r="13" spans="1:3" ht="48" customHeight="1">
      <c r="A13" s="122" t="s">
        <v>1991</v>
      </c>
      <c r="B13" s="150" t="s">
        <v>1971</v>
      </c>
      <c r="C13" s="122" t="s">
        <v>1992</v>
      </c>
    </row>
    <row r="14" spans="1:3" ht="48" customHeight="1">
      <c r="A14" s="122" t="s">
        <v>1993</v>
      </c>
      <c r="B14" s="151" t="s">
        <v>1994</v>
      </c>
      <c r="C14" s="122" t="s">
        <v>1995</v>
      </c>
    </row>
    <row r="15" spans="1:3" ht="48" customHeight="1">
      <c r="A15" s="122" t="s">
        <v>1996</v>
      </c>
      <c r="B15" s="151" t="s">
        <v>1994</v>
      </c>
      <c r="C15" s="122" t="s">
        <v>1997</v>
      </c>
    </row>
    <row r="16" spans="1:3" ht="48" customHeight="1">
      <c r="A16" s="122" t="s">
        <v>1998</v>
      </c>
      <c r="B16" s="152" t="s">
        <v>1999</v>
      </c>
      <c r="C16" s="122" t="s">
        <v>2000</v>
      </c>
    </row>
    <row r="17" spans="1:3" ht="48" customHeight="1">
      <c r="A17" s="122" t="s">
        <v>2001</v>
      </c>
      <c r="B17" s="152" t="s">
        <v>1999</v>
      </c>
      <c r="C17" s="122" t="s">
        <v>2002</v>
      </c>
    </row>
    <row r="18" spans="1:3" ht="48" customHeight="1">
      <c r="A18" s="122" t="s">
        <v>2003</v>
      </c>
      <c r="B18" s="152" t="s">
        <v>1999</v>
      </c>
      <c r="C18" s="122" t="s">
        <v>2004</v>
      </c>
    </row>
  </sheetData>
  <autoFilter ref="A2:C18" xr:uid="{65A4D420-AF34-4A4B-BAC9-11C4A7C09DEA}"/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64"/>
  <sheetViews>
    <sheetView tabSelected="1" topLeftCell="B311" workbookViewId="0">
      <selection activeCell="A331" sqref="A331:J464"/>
    </sheetView>
  </sheetViews>
  <sheetFormatPr defaultRowHeight="16.5"/>
  <cols>
    <col min="1" max="1" width="10" customWidth="1"/>
    <col min="2" max="2" width="22" customWidth="1"/>
    <col min="3" max="3" width="38" customWidth="1"/>
    <col min="4" max="5" width="42" customWidth="1"/>
    <col min="6" max="6" width="34" customWidth="1"/>
    <col min="7" max="7" width="14" customWidth="1"/>
    <col min="8" max="8" width="12" style="88" customWidth="1"/>
    <col min="9" max="9" width="28" style="74" customWidth="1"/>
    <col min="10" max="10" width="12" style="73" customWidth="1"/>
  </cols>
  <sheetData>
    <row r="1" spans="1:11" s="2" customFormat="1" ht="12.75" customHeight="1">
      <c r="A1" s="54" t="s">
        <v>0</v>
      </c>
      <c r="B1" s="124"/>
      <c r="C1" s="124"/>
      <c r="D1" s="124"/>
      <c r="E1" s="5"/>
      <c r="F1" s="5"/>
      <c r="G1" s="5"/>
      <c r="H1" s="87"/>
      <c r="I1" s="78"/>
      <c r="J1" s="5"/>
      <c r="K1" s="6"/>
    </row>
    <row r="2" spans="1:11" s="2" customFormat="1" ht="11.25" customHeight="1">
      <c r="A2" s="6"/>
      <c r="B2" s="125"/>
      <c r="C2" s="125"/>
      <c r="D2" s="125"/>
      <c r="E2" s="5"/>
      <c r="F2" s="5"/>
      <c r="G2" s="5"/>
      <c r="H2" s="87"/>
      <c r="I2" s="78"/>
      <c r="J2" s="5"/>
      <c r="K2" s="6"/>
    </row>
    <row r="3" spans="1:11" s="3" customFormat="1" ht="15" customHeight="1">
      <c r="A3" s="55" t="s">
        <v>13</v>
      </c>
      <c r="B3" s="134" t="s">
        <v>379</v>
      </c>
      <c r="C3" s="135"/>
      <c r="D3" s="136"/>
      <c r="E3" s="57"/>
      <c r="F3" s="57"/>
      <c r="G3" s="57"/>
      <c r="H3" s="132"/>
      <c r="I3" s="133"/>
      <c r="J3" s="133"/>
      <c r="K3" s="8"/>
    </row>
    <row r="4" spans="1:11" s="3" customFormat="1" ht="25.5">
      <c r="A4" s="59" t="s">
        <v>14</v>
      </c>
      <c r="B4" s="137" t="s">
        <v>380</v>
      </c>
      <c r="C4" s="138"/>
      <c r="D4" s="139"/>
      <c r="E4" s="57"/>
      <c r="F4" s="57"/>
      <c r="G4" s="57"/>
      <c r="H4" s="132"/>
      <c r="I4" s="133"/>
      <c r="J4" s="133"/>
      <c r="K4" s="8"/>
    </row>
    <row r="5" spans="1:11" s="68" customFormat="1" ht="38.25">
      <c r="A5" s="59" t="s">
        <v>15</v>
      </c>
      <c r="B5" s="127" t="s">
        <v>375</v>
      </c>
      <c r="C5" s="128"/>
      <c r="D5" s="129"/>
      <c r="E5" s="66"/>
      <c r="F5" s="66"/>
      <c r="G5" s="66"/>
      <c r="H5" s="130"/>
      <c r="I5" s="131"/>
      <c r="J5" s="131"/>
      <c r="K5" s="67"/>
    </row>
    <row r="6" spans="1:11" s="3" customFormat="1" ht="15" customHeight="1">
      <c r="A6" s="11" t="s">
        <v>16</v>
      </c>
      <c r="B6" s="71">
        <f>COUNTIF(H10:H464,"Pass")</f>
        <v>61</v>
      </c>
      <c r="C6" s="9" t="s">
        <v>17</v>
      </c>
      <c r="D6" s="12">
        <f>COUNTIF(H10:H464,"Pending")</f>
        <v>394</v>
      </c>
      <c r="E6" s="7"/>
      <c r="F6" s="7"/>
      <c r="G6" s="83"/>
      <c r="H6" s="132"/>
      <c r="I6" s="133"/>
      <c r="J6" s="133"/>
      <c r="K6" s="8"/>
    </row>
    <row r="7" spans="1:11" s="3" customFormat="1" ht="15" customHeight="1">
      <c r="A7" s="13" t="s">
        <v>18</v>
      </c>
      <c r="B7" s="72">
        <f>COUNTIF(H10:H464,"Fail")</f>
        <v>0</v>
      </c>
      <c r="C7" s="27" t="s">
        <v>19</v>
      </c>
      <c r="D7" s="102">
        <f>COUNTA(A10:A464)</f>
        <v>455</v>
      </c>
      <c r="E7" s="58"/>
      <c r="F7" s="58"/>
      <c r="G7" s="58"/>
      <c r="H7" s="132"/>
      <c r="I7" s="133"/>
      <c r="J7" s="133"/>
      <c r="K7" s="8"/>
    </row>
    <row r="8" spans="1:11" s="3" customFormat="1">
      <c r="A8" s="126"/>
      <c r="B8" s="126"/>
      <c r="C8" s="126"/>
      <c r="D8" s="126"/>
      <c r="E8" s="7"/>
      <c r="F8" s="7"/>
      <c r="G8" s="7"/>
      <c r="H8" s="87"/>
      <c r="I8" s="79"/>
      <c r="J8" s="79"/>
      <c r="K8" s="8"/>
    </row>
    <row r="9" spans="1:11" s="4" customFormat="1" ht="30" customHeight="1">
      <c r="A9" s="80" t="s">
        <v>20</v>
      </c>
      <c r="B9" s="80" t="s">
        <v>21</v>
      </c>
      <c r="C9" s="80" t="s">
        <v>22</v>
      </c>
      <c r="D9" s="80" t="s">
        <v>23</v>
      </c>
      <c r="E9" s="80" t="s">
        <v>24</v>
      </c>
      <c r="F9" s="80" t="s">
        <v>25</v>
      </c>
      <c r="G9" s="80" t="s">
        <v>26</v>
      </c>
      <c r="H9" s="86" t="s">
        <v>27</v>
      </c>
      <c r="I9" s="80" t="s">
        <v>28</v>
      </c>
      <c r="J9" s="80" t="s">
        <v>29</v>
      </c>
    </row>
    <row r="10" spans="1:11" s="4" customFormat="1" ht="72" customHeight="1">
      <c r="A10" s="108" t="s">
        <v>30</v>
      </c>
      <c r="B10" s="81" t="s">
        <v>381</v>
      </c>
      <c r="C10" s="81" t="s">
        <v>382</v>
      </c>
      <c r="D10" s="81" t="s">
        <v>383</v>
      </c>
      <c r="E10" s="81" t="s">
        <v>384</v>
      </c>
      <c r="F10" s="81" t="s">
        <v>1903</v>
      </c>
      <c r="G10" s="108" t="s">
        <v>370</v>
      </c>
      <c r="H10" s="144" t="s">
        <v>16</v>
      </c>
      <c r="I10" s="81" t="s">
        <v>1904</v>
      </c>
      <c r="J10" s="108" t="s">
        <v>31</v>
      </c>
    </row>
    <row r="11" spans="1:11" s="4" customFormat="1" ht="72" customHeight="1">
      <c r="A11" s="108" t="s">
        <v>32</v>
      </c>
      <c r="B11" s="81" t="s">
        <v>381</v>
      </c>
      <c r="C11" s="81" t="s">
        <v>385</v>
      </c>
      <c r="D11" s="81" t="s">
        <v>386</v>
      </c>
      <c r="E11" s="81" t="s">
        <v>387</v>
      </c>
      <c r="F11" s="81"/>
      <c r="G11" s="108"/>
      <c r="H11" s="115" t="s">
        <v>17</v>
      </c>
      <c r="I11" s="81"/>
      <c r="J11" s="108" t="s">
        <v>41</v>
      </c>
    </row>
    <row r="12" spans="1:11" s="4" customFormat="1" ht="72" customHeight="1">
      <c r="A12" s="108" t="s">
        <v>34</v>
      </c>
      <c r="B12" s="81" t="s">
        <v>381</v>
      </c>
      <c r="C12" s="81" t="s">
        <v>388</v>
      </c>
      <c r="D12" s="81" t="s">
        <v>389</v>
      </c>
      <c r="E12" s="81" t="s">
        <v>390</v>
      </c>
      <c r="F12" s="81"/>
      <c r="G12" s="110"/>
      <c r="H12" s="114" t="s">
        <v>17</v>
      </c>
      <c r="I12" s="85"/>
      <c r="J12" s="108" t="s">
        <v>31</v>
      </c>
    </row>
    <row r="13" spans="1:11" s="4" customFormat="1" ht="72" customHeight="1">
      <c r="A13" s="108" t="s">
        <v>36</v>
      </c>
      <c r="B13" s="81" t="s">
        <v>381</v>
      </c>
      <c r="C13" s="81" t="s">
        <v>391</v>
      </c>
      <c r="D13" s="81" t="s">
        <v>392</v>
      </c>
      <c r="E13" s="81" t="s">
        <v>393</v>
      </c>
      <c r="F13" s="81"/>
      <c r="G13" s="110"/>
      <c r="H13" s="114" t="s">
        <v>17</v>
      </c>
      <c r="I13" s="85"/>
      <c r="J13" s="108" t="s">
        <v>35</v>
      </c>
    </row>
    <row r="14" spans="1:11" s="4" customFormat="1" ht="72" customHeight="1">
      <c r="A14" s="108" t="s">
        <v>38</v>
      </c>
      <c r="B14" s="81" t="s">
        <v>381</v>
      </c>
      <c r="C14" s="81" t="s">
        <v>394</v>
      </c>
      <c r="D14" s="81" t="s">
        <v>395</v>
      </c>
      <c r="E14" s="81" t="s">
        <v>396</v>
      </c>
      <c r="F14" s="81"/>
      <c r="G14" s="110"/>
      <c r="H14" s="114" t="s">
        <v>17</v>
      </c>
      <c r="I14" s="85"/>
      <c r="J14" s="108" t="s">
        <v>35</v>
      </c>
    </row>
    <row r="15" spans="1:11" s="4" customFormat="1" ht="72" customHeight="1">
      <c r="A15" s="108" t="s">
        <v>39</v>
      </c>
      <c r="B15" s="81" t="s">
        <v>381</v>
      </c>
      <c r="C15" s="81" t="s">
        <v>397</v>
      </c>
      <c r="D15" s="81" t="s">
        <v>398</v>
      </c>
      <c r="E15" s="81" t="s">
        <v>399</v>
      </c>
      <c r="F15" s="81"/>
      <c r="G15" s="110"/>
      <c r="H15" s="114" t="s">
        <v>17</v>
      </c>
      <c r="I15" s="85"/>
      <c r="J15" s="108" t="s">
        <v>35</v>
      </c>
    </row>
    <row r="16" spans="1:11" s="4" customFormat="1" ht="72" customHeight="1">
      <c r="A16" s="108" t="s">
        <v>40</v>
      </c>
      <c r="B16" s="81" t="s">
        <v>400</v>
      </c>
      <c r="C16" s="81" t="s">
        <v>401</v>
      </c>
      <c r="D16" s="81" t="s">
        <v>402</v>
      </c>
      <c r="E16" s="81" t="s">
        <v>403</v>
      </c>
      <c r="F16" s="81"/>
      <c r="G16" s="110"/>
      <c r="H16" s="114" t="s">
        <v>17</v>
      </c>
      <c r="I16" s="85"/>
      <c r="J16" s="108" t="s">
        <v>31</v>
      </c>
    </row>
    <row r="17" spans="1:14" s="4" customFormat="1" ht="72" customHeight="1">
      <c r="A17" s="108" t="s">
        <v>42</v>
      </c>
      <c r="B17" s="81" t="s">
        <v>400</v>
      </c>
      <c r="C17" s="81" t="s">
        <v>404</v>
      </c>
      <c r="D17" s="81" t="s">
        <v>405</v>
      </c>
      <c r="E17" s="81" t="s">
        <v>406</v>
      </c>
      <c r="F17" s="81" t="s">
        <v>1905</v>
      </c>
      <c r="G17" s="110" t="s">
        <v>370</v>
      </c>
      <c r="H17" s="144" t="s">
        <v>16</v>
      </c>
      <c r="I17" s="85" t="s">
        <v>1904</v>
      </c>
      <c r="J17" s="108" t="s">
        <v>31</v>
      </c>
    </row>
    <row r="18" spans="1:14" s="70" customFormat="1" ht="72" customHeight="1">
      <c r="A18" s="108" t="s">
        <v>43</v>
      </c>
      <c r="B18" s="81" t="s">
        <v>400</v>
      </c>
      <c r="C18" s="81" t="s">
        <v>407</v>
      </c>
      <c r="D18" s="81" t="s">
        <v>408</v>
      </c>
      <c r="E18" s="81" t="s">
        <v>409</v>
      </c>
      <c r="F18" s="81" t="s">
        <v>1906</v>
      </c>
      <c r="G18" s="110" t="s">
        <v>370</v>
      </c>
      <c r="H18" s="144" t="s">
        <v>16</v>
      </c>
      <c r="I18" s="85" t="s">
        <v>1904</v>
      </c>
      <c r="J18" s="108" t="s">
        <v>31</v>
      </c>
    </row>
    <row r="19" spans="1:14" s="70" customFormat="1" ht="72" customHeight="1">
      <c r="A19" s="108" t="s">
        <v>44</v>
      </c>
      <c r="B19" s="81" t="s">
        <v>400</v>
      </c>
      <c r="C19" s="81" t="s">
        <v>37</v>
      </c>
      <c r="D19" s="81" t="s">
        <v>410</v>
      </c>
      <c r="E19" s="81" t="s">
        <v>411</v>
      </c>
      <c r="F19" s="81"/>
      <c r="G19" s="110"/>
      <c r="H19" s="114" t="s">
        <v>17</v>
      </c>
      <c r="I19" s="85"/>
      <c r="J19" s="108" t="s">
        <v>35</v>
      </c>
    </row>
    <row r="20" spans="1:14" s="70" customFormat="1" ht="72" customHeight="1">
      <c r="A20" s="108" t="s">
        <v>45</v>
      </c>
      <c r="B20" s="81" t="s">
        <v>400</v>
      </c>
      <c r="C20" s="81" t="s">
        <v>412</v>
      </c>
      <c r="D20" s="81" t="s">
        <v>413</v>
      </c>
      <c r="E20" s="81" t="s">
        <v>414</v>
      </c>
      <c r="F20" s="81"/>
      <c r="G20" s="110"/>
      <c r="H20" s="114" t="s">
        <v>17</v>
      </c>
      <c r="I20" s="85"/>
      <c r="J20" s="108" t="s">
        <v>33</v>
      </c>
      <c r="K20" s="75"/>
      <c r="L20" s="75"/>
      <c r="M20" s="75"/>
      <c r="N20" s="75"/>
    </row>
    <row r="21" spans="1:14" s="70" customFormat="1" ht="72" customHeight="1">
      <c r="A21" s="108" t="s">
        <v>46</v>
      </c>
      <c r="B21" s="81" t="s">
        <v>400</v>
      </c>
      <c r="C21" s="81" t="s">
        <v>415</v>
      </c>
      <c r="D21" s="81" t="s">
        <v>416</v>
      </c>
      <c r="E21" s="81" t="s">
        <v>417</v>
      </c>
      <c r="F21" s="81"/>
      <c r="G21" s="110"/>
      <c r="H21" s="114" t="s">
        <v>17</v>
      </c>
      <c r="I21" s="85"/>
      <c r="J21" s="108" t="s">
        <v>35</v>
      </c>
    </row>
    <row r="22" spans="1:14" s="70" customFormat="1" ht="72" customHeight="1">
      <c r="A22" s="108" t="s">
        <v>48</v>
      </c>
      <c r="B22" s="81" t="s">
        <v>400</v>
      </c>
      <c r="C22" s="81" t="s">
        <v>418</v>
      </c>
      <c r="D22" s="81" t="s">
        <v>419</v>
      </c>
      <c r="E22" s="81" t="s">
        <v>420</v>
      </c>
      <c r="F22" s="81"/>
      <c r="G22" s="110"/>
      <c r="H22" s="114" t="s">
        <v>17</v>
      </c>
      <c r="I22" s="85"/>
      <c r="J22" s="108" t="s">
        <v>31</v>
      </c>
    </row>
    <row r="23" spans="1:14" s="70" customFormat="1" ht="72" customHeight="1">
      <c r="A23" s="108" t="s">
        <v>49</v>
      </c>
      <c r="B23" s="81" t="s">
        <v>400</v>
      </c>
      <c r="C23" s="81" t="s">
        <v>421</v>
      </c>
      <c r="D23" s="81" t="s">
        <v>422</v>
      </c>
      <c r="E23" s="81" t="s">
        <v>423</v>
      </c>
      <c r="F23" s="81"/>
      <c r="G23" s="110"/>
      <c r="H23" s="114" t="s">
        <v>17</v>
      </c>
      <c r="I23" s="85"/>
      <c r="J23" s="108" t="s">
        <v>31</v>
      </c>
    </row>
    <row r="24" spans="1:14" s="70" customFormat="1" ht="72" customHeight="1">
      <c r="A24" s="108" t="s">
        <v>50</v>
      </c>
      <c r="B24" s="81" t="s">
        <v>400</v>
      </c>
      <c r="C24" s="81" t="s">
        <v>424</v>
      </c>
      <c r="D24" s="81" t="s">
        <v>425</v>
      </c>
      <c r="E24" s="81" t="s">
        <v>426</v>
      </c>
      <c r="F24" s="81"/>
      <c r="G24" s="110"/>
      <c r="H24" s="114" t="s">
        <v>17</v>
      </c>
      <c r="I24" s="85"/>
      <c r="J24" s="108" t="s">
        <v>35</v>
      </c>
    </row>
    <row r="25" spans="1:14" s="70" customFormat="1" ht="72" customHeight="1">
      <c r="A25" s="108" t="s">
        <v>51</v>
      </c>
      <c r="B25" s="81" t="s">
        <v>400</v>
      </c>
      <c r="C25" s="81" t="s">
        <v>427</v>
      </c>
      <c r="D25" s="81" t="s">
        <v>428</v>
      </c>
      <c r="E25" s="81" t="s">
        <v>429</v>
      </c>
      <c r="F25" s="81" t="s">
        <v>1907</v>
      </c>
      <c r="G25" s="110" t="s">
        <v>370</v>
      </c>
      <c r="H25" s="144" t="s">
        <v>16</v>
      </c>
      <c r="I25" s="85" t="s">
        <v>1904</v>
      </c>
      <c r="J25" s="108" t="s">
        <v>31</v>
      </c>
    </row>
    <row r="26" spans="1:14" s="70" customFormat="1" ht="72" customHeight="1">
      <c r="A26" s="108" t="s">
        <v>52</v>
      </c>
      <c r="B26" s="81" t="s">
        <v>400</v>
      </c>
      <c r="C26" s="81" t="s">
        <v>430</v>
      </c>
      <c r="D26" s="81" t="s">
        <v>431</v>
      </c>
      <c r="E26" s="81" t="s">
        <v>432</v>
      </c>
      <c r="F26" s="81"/>
      <c r="G26" s="110"/>
      <c r="H26" s="114" t="s">
        <v>17</v>
      </c>
      <c r="I26" s="85"/>
      <c r="J26" s="108" t="s">
        <v>31</v>
      </c>
    </row>
    <row r="27" spans="1:14" s="70" customFormat="1" ht="72" customHeight="1">
      <c r="A27" s="108" t="s">
        <v>53</v>
      </c>
      <c r="B27" s="81" t="s">
        <v>400</v>
      </c>
      <c r="C27" s="81" t="s">
        <v>433</v>
      </c>
      <c r="D27" s="81" t="s">
        <v>434</v>
      </c>
      <c r="E27" s="81" t="s">
        <v>435</v>
      </c>
      <c r="F27" s="81"/>
      <c r="G27" s="110"/>
      <c r="H27" s="114" t="s">
        <v>17</v>
      </c>
      <c r="I27" s="85"/>
      <c r="J27" s="108" t="s">
        <v>35</v>
      </c>
    </row>
    <row r="28" spans="1:14" s="70" customFormat="1" ht="72" customHeight="1">
      <c r="A28" s="108" t="s">
        <v>54</v>
      </c>
      <c r="B28" s="81" t="s">
        <v>400</v>
      </c>
      <c r="C28" s="81" t="s">
        <v>436</v>
      </c>
      <c r="D28" s="81" t="s">
        <v>437</v>
      </c>
      <c r="E28" s="81" t="s">
        <v>438</v>
      </c>
      <c r="F28" s="81"/>
      <c r="G28" s="110"/>
      <c r="H28" s="114" t="s">
        <v>17</v>
      </c>
      <c r="I28" s="85"/>
      <c r="J28" s="108" t="s">
        <v>35</v>
      </c>
    </row>
    <row r="29" spans="1:14" s="4" customFormat="1" ht="72" customHeight="1">
      <c r="A29" s="108" t="s">
        <v>55</v>
      </c>
      <c r="B29" s="81" t="s">
        <v>400</v>
      </c>
      <c r="C29" s="81" t="s">
        <v>439</v>
      </c>
      <c r="D29" s="81" t="s">
        <v>440</v>
      </c>
      <c r="E29" s="81" t="s">
        <v>441</v>
      </c>
      <c r="F29" s="81"/>
      <c r="G29" s="110"/>
      <c r="H29" s="114" t="s">
        <v>17</v>
      </c>
      <c r="I29" s="85"/>
      <c r="J29" s="108" t="s">
        <v>31</v>
      </c>
    </row>
    <row r="30" spans="1:14" s="70" customFormat="1" ht="72" customHeight="1">
      <c r="A30" s="108" t="s">
        <v>56</v>
      </c>
      <c r="B30" s="81" t="s">
        <v>400</v>
      </c>
      <c r="C30" s="81" t="s">
        <v>442</v>
      </c>
      <c r="D30" s="81" t="s">
        <v>443</v>
      </c>
      <c r="E30" s="81" t="s">
        <v>444</v>
      </c>
      <c r="F30" s="81"/>
      <c r="G30" s="108"/>
      <c r="H30" s="116" t="s">
        <v>17</v>
      </c>
      <c r="I30" s="81"/>
      <c r="J30" s="108" t="s">
        <v>31</v>
      </c>
    </row>
    <row r="31" spans="1:14" s="70" customFormat="1" ht="72" customHeight="1">
      <c r="A31" s="108" t="s">
        <v>58</v>
      </c>
      <c r="B31" s="81" t="s">
        <v>400</v>
      </c>
      <c r="C31" s="81" t="s">
        <v>445</v>
      </c>
      <c r="D31" s="81" t="s">
        <v>446</v>
      </c>
      <c r="E31" s="81" t="s">
        <v>447</v>
      </c>
      <c r="F31" s="81"/>
      <c r="G31" s="110"/>
      <c r="H31" s="114" t="s">
        <v>17</v>
      </c>
      <c r="I31" s="85"/>
      <c r="J31" s="108" t="s">
        <v>35</v>
      </c>
    </row>
    <row r="32" spans="1:14" s="70" customFormat="1" ht="72" customHeight="1">
      <c r="A32" s="108" t="s">
        <v>59</v>
      </c>
      <c r="B32" s="81" t="s">
        <v>448</v>
      </c>
      <c r="C32" s="81" t="s">
        <v>449</v>
      </c>
      <c r="D32" s="81" t="s">
        <v>450</v>
      </c>
      <c r="E32" s="81" t="s">
        <v>451</v>
      </c>
      <c r="F32" s="81"/>
      <c r="G32" s="110"/>
      <c r="H32" s="114" t="s">
        <v>17</v>
      </c>
      <c r="I32" s="85"/>
      <c r="J32" s="108" t="s">
        <v>33</v>
      </c>
    </row>
    <row r="33" spans="1:10" s="70" customFormat="1" ht="72" customHeight="1">
      <c r="A33" s="108" t="s">
        <v>60</v>
      </c>
      <c r="B33" s="81" t="s">
        <v>448</v>
      </c>
      <c r="C33" s="81" t="s">
        <v>452</v>
      </c>
      <c r="D33" s="81" t="s">
        <v>453</v>
      </c>
      <c r="E33" s="81" t="s">
        <v>454</v>
      </c>
      <c r="F33" s="81"/>
      <c r="G33" s="110"/>
      <c r="H33" s="114" t="s">
        <v>17</v>
      </c>
      <c r="I33" s="85"/>
      <c r="J33" s="108" t="s">
        <v>41</v>
      </c>
    </row>
    <row r="34" spans="1:10" s="70" customFormat="1" ht="72" customHeight="1">
      <c r="A34" s="108" t="s">
        <v>61</v>
      </c>
      <c r="B34" s="81" t="s">
        <v>448</v>
      </c>
      <c r="C34" s="81" t="s">
        <v>455</v>
      </c>
      <c r="D34" s="81" t="s">
        <v>456</v>
      </c>
      <c r="E34" s="81" t="s">
        <v>457</v>
      </c>
      <c r="F34" s="81"/>
      <c r="G34" s="110"/>
      <c r="H34" s="114" t="s">
        <v>17</v>
      </c>
      <c r="I34" s="85"/>
      <c r="J34" s="108" t="s">
        <v>35</v>
      </c>
    </row>
    <row r="35" spans="1:10" s="70" customFormat="1" ht="72" customHeight="1">
      <c r="A35" s="108" t="s">
        <v>62</v>
      </c>
      <c r="B35" s="81" t="s">
        <v>448</v>
      </c>
      <c r="C35" s="81" t="s">
        <v>458</v>
      </c>
      <c r="D35" s="81" t="s">
        <v>459</v>
      </c>
      <c r="E35" s="81" t="s">
        <v>460</v>
      </c>
      <c r="F35" s="81"/>
      <c r="G35" s="110"/>
      <c r="H35" s="114" t="s">
        <v>17</v>
      </c>
      <c r="I35" s="85"/>
      <c r="J35" s="108" t="s">
        <v>33</v>
      </c>
    </row>
    <row r="36" spans="1:10" s="70" customFormat="1" ht="72" customHeight="1">
      <c r="A36" s="108" t="s">
        <v>63</v>
      </c>
      <c r="B36" s="81" t="s">
        <v>448</v>
      </c>
      <c r="C36" s="81" t="s">
        <v>461</v>
      </c>
      <c r="D36" s="81" t="s">
        <v>462</v>
      </c>
      <c r="E36" s="81" t="s">
        <v>463</v>
      </c>
      <c r="F36" s="81"/>
      <c r="G36" s="110"/>
      <c r="H36" s="114" t="s">
        <v>17</v>
      </c>
      <c r="I36" s="85"/>
      <c r="J36" s="108" t="s">
        <v>33</v>
      </c>
    </row>
    <row r="37" spans="1:10" s="70" customFormat="1" ht="72" customHeight="1">
      <c r="A37" s="108" t="s">
        <v>64</v>
      </c>
      <c r="B37" s="81" t="s">
        <v>448</v>
      </c>
      <c r="C37" s="81" t="s">
        <v>464</v>
      </c>
      <c r="D37" s="81" t="s">
        <v>465</v>
      </c>
      <c r="E37" s="81" t="s">
        <v>466</v>
      </c>
      <c r="F37" s="81"/>
      <c r="G37" s="110"/>
      <c r="H37" s="114" t="s">
        <v>17</v>
      </c>
      <c r="I37" s="85"/>
      <c r="J37" s="108" t="s">
        <v>35</v>
      </c>
    </row>
    <row r="38" spans="1:10" s="70" customFormat="1" ht="72" customHeight="1">
      <c r="A38" s="108" t="s">
        <v>65</v>
      </c>
      <c r="B38" s="81" t="s">
        <v>448</v>
      </c>
      <c r="C38" s="81" t="s">
        <v>467</v>
      </c>
      <c r="D38" s="81" t="s">
        <v>468</v>
      </c>
      <c r="E38" s="81" t="s">
        <v>469</v>
      </c>
      <c r="F38" s="81"/>
      <c r="G38" s="110"/>
      <c r="H38" s="114" t="s">
        <v>17</v>
      </c>
      <c r="I38" s="85"/>
      <c r="J38" s="108" t="s">
        <v>33</v>
      </c>
    </row>
    <row r="39" spans="1:10" s="70" customFormat="1" ht="72" customHeight="1">
      <c r="A39" s="108" t="s">
        <v>66</v>
      </c>
      <c r="B39" s="81" t="s">
        <v>448</v>
      </c>
      <c r="C39" s="81" t="s">
        <v>470</v>
      </c>
      <c r="D39" s="81" t="s">
        <v>471</v>
      </c>
      <c r="E39" s="81" t="s">
        <v>472</v>
      </c>
      <c r="F39" s="81"/>
      <c r="G39" s="110"/>
      <c r="H39" s="114" t="s">
        <v>17</v>
      </c>
      <c r="I39" s="85"/>
      <c r="J39" s="108" t="s">
        <v>35</v>
      </c>
    </row>
    <row r="40" spans="1:10" s="70" customFormat="1" ht="72" customHeight="1">
      <c r="A40" s="108" t="s">
        <v>67</v>
      </c>
      <c r="B40" s="81" t="s">
        <v>448</v>
      </c>
      <c r="C40" s="81" t="s">
        <v>473</v>
      </c>
      <c r="D40" s="81" t="s">
        <v>474</v>
      </c>
      <c r="E40" s="81" t="s">
        <v>475</v>
      </c>
      <c r="F40" s="81"/>
      <c r="G40" s="110"/>
      <c r="H40" s="114" t="s">
        <v>17</v>
      </c>
      <c r="I40" s="85"/>
      <c r="J40" s="108" t="s">
        <v>35</v>
      </c>
    </row>
    <row r="41" spans="1:10" s="70" customFormat="1" ht="72" customHeight="1">
      <c r="A41" s="108" t="s">
        <v>68</v>
      </c>
      <c r="B41" s="81" t="s">
        <v>448</v>
      </c>
      <c r="C41" s="81" t="s">
        <v>476</v>
      </c>
      <c r="D41" s="81" t="s">
        <v>477</v>
      </c>
      <c r="E41" s="81" t="s">
        <v>478</v>
      </c>
      <c r="F41" s="81"/>
      <c r="G41" s="108"/>
      <c r="H41" s="116" t="s">
        <v>17</v>
      </c>
      <c r="I41" s="81"/>
      <c r="J41" s="108" t="s">
        <v>31</v>
      </c>
    </row>
    <row r="42" spans="1:10" s="70" customFormat="1" ht="72" customHeight="1">
      <c r="A42" s="108" t="s">
        <v>69</v>
      </c>
      <c r="B42" s="81" t="s">
        <v>448</v>
      </c>
      <c r="C42" s="81" t="s">
        <v>479</v>
      </c>
      <c r="D42" s="81" t="s">
        <v>480</v>
      </c>
      <c r="E42" s="81" t="s">
        <v>481</v>
      </c>
      <c r="F42" s="81" t="s">
        <v>1908</v>
      </c>
      <c r="G42" s="111" t="s">
        <v>370</v>
      </c>
      <c r="H42" s="144" t="s">
        <v>16</v>
      </c>
      <c r="I42" s="85" t="s">
        <v>1904</v>
      </c>
      <c r="J42" s="108" t="s">
        <v>31</v>
      </c>
    </row>
    <row r="43" spans="1:10" s="70" customFormat="1" ht="72" customHeight="1">
      <c r="A43" s="108" t="s">
        <v>70</v>
      </c>
      <c r="B43" s="81" t="s">
        <v>448</v>
      </c>
      <c r="C43" s="81" t="s">
        <v>482</v>
      </c>
      <c r="D43" s="81" t="s">
        <v>483</v>
      </c>
      <c r="E43" s="81" t="s">
        <v>484</v>
      </c>
      <c r="F43" s="81"/>
      <c r="G43" s="111"/>
      <c r="H43" s="114" t="s">
        <v>17</v>
      </c>
      <c r="I43" s="85"/>
      <c r="J43" s="108" t="s">
        <v>31</v>
      </c>
    </row>
    <row r="44" spans="1:10" s="70" customFormat="1" ht="72" customHeight="1">
      <c r="A44" s="108" t="s">
        <v>71</v>
      </c>
      <c r="B44" s="81" t="s">
        <v>448</v>
      </c>
      <c r="C44" s="81" t="s">
        <v>485</v>
      </c>
      <c r="D44" s="81" t="s">
        <v>486</v>
      </c>
      <c r="E44" s="81" t="s">
        <v>487</v>
      </c>
      <c r="F44" s="81" t="s">
        <v>1909</v>
      </c>
      <c r="G44" s="111" t="s">
        <v>370</v>
      </c>
      <c r="H44" s="144" t="s">
        <v>16</v>
      </c>
      <c r="I44" s="85" t="s">
        <v>1904</v>
      </c>
      <c r="J44" s="108" t="s">
        <v>31</v>
      </c>
    </row>
    <row r="45" spans="1:10" s="70" customFormat="1" ht="72" customHeight="1">
      <c r="A45" s="108" t="s">
        <v>72</v>
      </c>
      <c r="B45" s="81" t="s">
        <v>448</v>
      </c>
      <c r="C45" s="81" t="s">
        <v>488</v>
      </c>
      <c r="D45" s="81" t="s">
        <v>489</v>
      </c>
      <c r="E45" s="81" t="s">
        <v>490</v>
      </c>
      <c r="F45" s="81" t="s">
        <v>1910</v>
      </c>
      <c r="G45" s="111" t="s">
        <v>370</v>
      </c>
      <c r="H45" s="144" t="s">
        <v>16</v>
      </c>
      <c r="I45" s="85" t="s">
        <v>1904</v>
      </c>
      <c r="J45" s="108" t="s">
        <v>31</v>
      </c>
    </row>
    <row r="46" spans="1:10" s="70" customFormat="1" ht="72" customHeight="1">
      <c r="A46" s="108" t="s">
        <v>73</v>
      </c>
      <c r="B46" s="81" t="s">
        <v>448</v>
      </c>
      <c r="C46" s="81" t="s">
        <v>491</v>
      </c>
      <c r="D46" s="81" t="s">
        <v>492</v>
      </c>
      <c r="E46" s="81" t="s">
        <v>493</v>
      </c>
      <c r="F46" s="81"/>
      <c r="G46" s="111"/>
      <c r="H46" s="114" t="s">
        <v>17</v>
      </c>
      <c r="I46" s="85"/>
      <c r="J46" s="108" t="s">
        <v>31</v>
      </c>
    </row>
    <row r="47" spans="1:10" ht="72" customHeight="1">
      <c r="A47" s="108" t="s">
        <v>74</v>
      </c>
      <c r="B47" s="81" t="s">
        <v>448</v>
      </c>
      <c r="C47" s="81" t="s">
        <v>494</v>
      </c>
      <c r="D47" s="81" t="s">
        <v>495</v>
      </c>
      <c r="E47" s="81" t="s">
        <v>496</v>
      </c>
      <c r="F47" s="81"/>
      <c r="G47" s="111"/>
      <c r="H47" s="114" t="s">
        <v>17</v>
      </c>
      <c r="I47" s="85"/>
      <c r="J47" s="108" t="s">
        <v>31</v>
      </c>
    </row>
    <row r="48" spans="1:10" ht="72" customHeight="1">
      <c r="A48" s="108" t="s">
        <v>75</v>
      </c>
      <c r="B48" s="81" t="s">
        <v>448</v>
      </c>
      <c r="C48" s="81" t="s">
        <v>497</v>
      </c>
      <c r="D48" s="81" t="s">
        <v>498</v>
      </c>
      <c r="E48" s="81" t="s">
        <v>499</v>
      </c>
      <c r="F48" s="81"/>
      <c r="G48" s="108"/>
      <c r="H48" s="117" t="s">
        <v>17</v>
      </c>
      <c r="I48" s="81"/>
      <c r="J48" s="108" t="s">
        <v>31</v>
      </c>
    </row>
    <row r="49" spans="1:10" ht="72" customHeight="1">
      <c r="A49" s="108" t="s">
        <v>76</v>
      </c>
      <c r="B49" s="81" t="s">
        <v>448</v>
      </c>
      <c r="C49" s="81" t="s">
        <v>500</v>
      </c>
      <c r="D49" s="81" t="s">
        <v>501</v>
      </c>
      <c r="E49" s="81" t="s">
        <v>502</v>
      </c>
      <c r="F49" s="81"/>
      <c r="G49" s="108"/>
      <c r="H49" s="114" t="s">
        <v>17</v>
      </c>
      <c r="I49" s="81"/>
      <c r="J49" s="108" t="s">
        <v>31</v>
      </c>
    </row>
    <row r="50" spans="1:10" ht="72" customHeight="1">
      <c r="A50" s="108" t="s">
        <v>77</v>
      </c>
      <c r="B50" s="81" t="s">
        <v>503</v>
      </c>
      <c r="C50" s="81" t="s">
        <v>504</v>
      </c>
      <c r="D50" s="81" t="s">
        <v>505</v>
      </c>
      <c r="E50" s="81" t="s">
        <v>506</v>
      </c>
      <c r="F50" s="81"/>
      <c r="G50" s="108"/>
      <c r="H50" s="114" t="s">
        <v>17</v>
      </c>
      <c r="I50" s="81"/>
      <c r="J50" s="108" t="s">
        <v>35</v>
      </c>
    </row>
    <row r="51" spans="1:10" ht="72" customHeight="1">
      <c r="A51" s="108" t="s">
        <v>78</v>
      </c>
      <c r="B51" s="81" t="s">
        <v>503</v>
      </c>
      <c r="C51" s="81" t="s">
        <v>507</v>
      </c>
      <c r="D51" s="81" t="s">
        <v>508</v>
      </c>
      <c r="E51" s="81" t="s">
        <v>509</v>
      </c>
      <c r="F51" s="81" t="s">
        <v>1911</v>
      </c>
      <c r="G51" s="108" t="s">
        <v>370</v>
      </c>
      <c r="H51" s="145" t="s">
        <v>16</v>
      </c>
      <c r="I51" s="81" t="s">
        <v>1904</v>
      </c>
      <c r="J51" s="108" t="s">
        <v>35</v>
      </c>
    </row>
    <row r="52" spans="1:10" ht="72" customHeight="1">
      <c r="A52" s="108" t="s">
        <v>79</v>
      </c>
      <c r="B52" s="81" t="s">
        <v>503</v>
      </c>
      <c r="C52" s="81" t="s">
        <v>510</v>
      </c>
      <c r="D52" s="81" t="s">
        <v>511</v>
      </c>
      <c r="E52" s="81" t="s">
        <v>512</v>
      </c>
      <c r="F52" s="81"/>
      <c r="G52" s="111"/>
      <c r="H52" s="114" t="s">
        <v>17</v>
      </c>
      <c r="I52" s="85"/>
      <c r="J52" s="108" t="s">
        <v>35</v>
      </c>
    </row>
    <row r="53" spans="1:10" ht="72" customHeight="1">
      <c r="A53" s="108" t="s">
        <v>80</v>
      </c>
      <c r="B53" s="81" t="s">
        <v>503</v>
      </c>
      <c r="C53" s="81" t="s">
        <v>513</v>
      </c>
      <c r="D53" s="81" t="s">
        <v>514</v>
      </c>
      <c r="E53" s="81" t="s">
        <v>515</v>
      </c>
      <c r="F53" s="81"/>
      <c r="G53" s="111"/>
      <c r="H53" s="114" t="s">
        <v>17</v>
      </c>
      <c r="I53" s="85"/>
      <c r="J53" s="108" t="s">
        <v>33</v>
      </c>
    </row>
    <row r="54" spans="1:10" ht="72" customHeight="1">
      <c r="A54" s="108" t="s">
        <v>81</v>
      </c>
      <c r="B54" s="81" t="s">
        <v>503</v>
      </c>
      <c r="C54" s="81" t="s">
        <v>516</v>
      </c>
      <c r="D54" s="81" t="s">
        <v>517</v>
      </c>
      <c r="E54" s="81" t="s">
        <v>518</v>
      </c>
      <c r="F54" s="81"/>
      <c r="G54" s="111"/>
      <c r="H54" s="114" t="s">
        <v>17</v>
      </c>
      <c r="I54" s="85"/>
      <c r="J54" s="108" t="s">
        <v>35</v>
      </c>
    </row>
    <row r="55" spans="1:10" ht="72" customHeight="1">
      <c r="A55" s="108" t="s">
        <v>82</v>
      </c>
      <c r="B55" s="81" t="s">
        <v>503</v>
      </c>
      <c r="C55" s="81" t="s">
        <v>519</v>
      </c>
      <c r="D55" s="81" t="s">
        <v>520</v>
      </c>
      <c r="E55" s="81" t="s">
        <v>521</v>
      </c>
      <c r="F55" s="81"/>
      <c r="G55" s="111"/>
      <c r="H55" s="114" t="s">
        <v>17</v>
      </c>
      <c r="I55" s="85"/>
      <c r="J55" s="108" t="s">
        <v>35</v>
      </c>
    </row>
    <row r="56" spans="1:10" ht="72" customHeight="1">
      <c r="A56" s="108" t="s">
        <v>83</v>
      </c>
      <c r="B56" s="81" t="s">
        <v>503</v>
      </c>
      <c r="C56" s="81" t="s">
        <v>522</v>
      </c>
      <c r="D56" s="81" t="s">
        <v>523</v>
      </c>
      <c r="E56" s="81" t="s">
        <v>524</v>
      </c>
      <c r="F56" s="81"/>
      <c r="G56" s="111"/>
      <c r="H56" s="114" t="s">
        <v>17</v>
      </c>
      <c r="I56" s="85"/>
      <c r="J56" s="108" t="s">
        <v>35</v>
      </c>
    </row>
    <row r="57" spans="1:10" ht="72" customHeight="1">
      <c r="A57" s="108" t="s">
        <v>84</v>
      </c>
      <c r="B57" s="81" t="s">
        <v>525</v>
      </c>
      <c r="C57" s="81" t="s">
        <v>526</v>
      </c>
      <c r="D57" s="81" t="s">
        <v>527</v>
      </c>
      <c r="E57" s="81" t="s">
        <v>528</v>
      </c>
      <c r="F57" s="81"/>
      <c r="G57" s="111"/>
      <c r="H57" s="114" t="s">
        <v>17</v>
      </c>
      <c r="I57" s="85"/>
      <c r="J57" s="108" t="s">
        <v>35</v>
      </c>
    </row>
    <row r="58" spans="1:10" ht="72" customHeight="1">
      <c r="A58" s="108" t="s">
        <v>85</v>
      </c>
      <c r="B58" s="81" t="s">
        <v>525</v>
      </c>
      <c r="C58" s="81" t="s">
        <v>529</v>
      </c>
      <c r="D58" s="81" t="s">
        <v>530</v>
      </c>
      <c r="E58" s="81" t="s">
        <v>531</v>
      </c>
      <c r="F58" s="81"/>
      <c r="G58" s="111"/>
      <c r="H58" s="114" t="s">
        <v>17</v>
      </c>
      <c r="I58" s="85"/>
      <c r="J58" s="108" t="s">
        <v>31</v>
      </c>
    </row>
    <row r="59" spans="1:10" ht="72" customHeight="1">
      <c r="A59" s="108" t="s">
        <v>86</v>
      </c>
      <c r="B59" s="81" t="s">
        <v>525</v>
      </c>
      <c r="C59" s="81" t="s">
        <v>532</v>
      </c>
      <c r="D59" s="81" t="s">
        <v>533</v>
      </c>
      <c r="E59" s="81" t="s">
        <v>534</v>
      </c>
      <c r="F59" s="81"/>
      <c r="G59" s="111"/>
      <c r="H59" s="114" t="s">
        <v>17</v>
      </c>
      <c r="I59" s="85"/>
      <c r="J59" s="108" t="s">
        <v>33</v>
      </c>
    </row>
    <row r="60" spans="1:10" ht="72" customHeight="1">
      <c r="A60" s="108" t="s">
        <v>87</v>
      </c>
      <c r="B60" s="81" t="s">
        <v>525</v>
      </c>
      <c r="C60" s="81" t="s">
        <v>535</v>
      </c>
      <c r="D60" s="81" t="s">
        <v>536</v>
      </c>
      <c r="E60" s="81" t="s">
        <v>537</v>
      </c>
      <c r="F60" s="81"/>
      <c r="G60" s="111"/>
      <c r="H60" s="114" t="s">
        <v>17</v>
      </c>
      <c r="I60" s="85"/>
      <c r="J60" s="108" t="s">
        <v>35</v>
      </c>
    </row>
    <row r="61" spans="1:10" ht="72" customHeight="1">
      <c r="A61" s="108" t="s">
        <v>88</v>
      </c>
      <c r="B61" s="81" t="s">
        <v>525</v>
      </c>
      <c r="C61" s="81" t="s">
        <v>538</v>
      </c>
      <c r="D61" s="81" t="s">
        <v>539</v>
      </c>
      <c r="E61" s="81" t="s">
        <v>540</v>
      </c>
      <c r="F61" s="81"/>
      <c r="G61" s="111"/>
      <c r="H61" s="114" t="s">
        <v>17</v>
      </c>
      <c r="I61" s="85"/>
      <c r="J61" s="108" t="s">
        <v>41</v>
      </c>
    </row>
    <row r="62" spans="1:10" ht="72" customHeight="1">
      <c r="A62" s="108" t="s">
        <v>89</v>
      </c>
      <c r="B62" s="81" t="s">
        <v>525</v>
      </c>
      <c r="C62" s="81" t="s">
        <v>541</v>
      </c>
      <c r="D62" s="81" t="s">
        <v>542</v>
      </c>
      <c r="E62" s="81" t="s">
        <v>543</v>
      </c>
      <c r="F62" s="81"/>
      <c r="G62" s="111"/>
      <c r="H62" s="114" t="s">
        <v>17</v>
      </c>
      <c r="I62" s="85"/>
      <c r="J62" s="108" t="s">
        <v>33</v>
      </c>
    </row>
    <row r="63" spans="1:10" ht="72" customHeight="1">
      <c r="A63" s="108" t="s">
        <v>90</v>
      </c>
      <c r="B63" s="81" t="s">
        <v>544</v>
      </c>
      <c r="C63" s="81" t="s">
        <v>545</v>
      </c>
      <c r="D63" s="81" t="s">
        <v>546</v>
      </c>
      <c r="E63" s="81" t="s">
        <v>547</v>
      </c>
      <c r="F63" s="81"/>
      <c r="G63" s="111"/>
      <c r="H63" s="114" t="s">
        <v>17</v>
      </c>
      <c r="I63" s="85"/>
      <c r="J63" s="108" t="s">
        <v>35</v>
      </c>
    </row>
    <row r="64" spans="1:10" ht="72" customHeight="1">
      <c r="A64" s="108" t="s">
        <v>91</v>
      </c>
      <c r="B64" s="81" t="s">
        <v>544</v>
      </c>
      <c r="C64" s="81" t="s">
        <v>548</v>
      </c>
      <c r="D64" s="81" t="s">
        <v>549</v>
      </c>
      <c r="E64" s="81" t="s">
        <v>550</v>
      </c>
      <c r="F64" s="81" t="s">
        <v>1912</v>
      </c>
      <c r="G64" s="111" t="s">
        <v>370</v>
      </c>
      <c r="H64" s="144" t="s">
        <v>16</v>
      </c>
      <c r="I64" s="85" t="s">
        <v>1904</v>
      </c>
      <c r="J64" s="108" t="s">
        <v>31</v>
      </c>
    </row>
    <row r="65" spans="1:10" ht="72" customHeight="1">
      <c r="A65" s="108" t="s">
        <v>92</v>
      </c>
      <c r="B65" s="81" t="s">
        <v>544</v>
      </c>
      <c r="C65" s="81" t="s">
        <v>551</v>
      </c>
      <c r="D65" s="81" t="s">
        <v>552</v>
      </c>
      <c r="E65" s="81" t="s">
        <v>553</v>
      </c>
      <c r="F65" s="81" t="s">
        <v>1913</v>
      </c>
      <c r="G65" s="108" t="s">
        <v>370</v>
      </c>
      <c r="H65" s="146" t="s">
        <v>16</v>
      </c>
      <c r="I65" s="81" t="s">
        <v>1904</v>
      </c>
      <c r="J65" s="108" t="s">
        <v>35</v>
      </c>
    </row>
    <row r="66" spans="1:10" ht="72" customHeight="1">
      <c r="A66" s="108" t="s">
        <v>93</v>
      </c>
      <c r="B66" s="81" t="s">
        <v>544</v>
      </c>
      <c r="C66" s="81" t="s">
        <v>554</v>
      </c>
      <c r="D66" s="81" t="s">
        <v>555</v>
      </c>
      <c r="E66" s="81" t="s">
        <v>556</v>
      </c>
      <c r="F66" s="81" t="s">
        <v>1914</v>
      </c>
      <c r="G66" s="108" t="s">
        <v>370</v>
      </c>
      <c r="H66" s="145" t="s">
        <v>16</v>
      </c>
      <c r="I66" s="81" t="s">
        <v>1904</v>
      </c>
      <c r="J66" s="108" t="s">
        <v>35</v>
      </c>
    </row>
    <row r="67" spans="1:10" ht="72" customHeight="1">
      <c r="A67" s="108" t="s">
        <v>94</v>
      </c>
      <c r="B67" s="81" t="s">
        <v>544</v>
      </c>
      <c r="C67" s="81" t="s">
        <v>47</v>
      </c>
      <c r="D67" s="81" t="s">
        <v>557</v>
      </c>
      <c r="E67" s="81" t="s">
        <v>558</v>
      </c>
      <c r="F67" s="81"/>
      <c r="G67" s="111"/>
      <c r="H67" s="114" t="s">
        <v>17</v>
      </c>
      <c r="I67" s="85"/>
      <c r="J67" s="108" t="s">
        <v>33</v>
      </c>
    </row>
    <row r="68" spans="1:10" ht="72" customHeight="1">
      <c r="A68" s="108" t="s">
        <v>95</v>
      </c>
      <c r="B68" s="81" t="s">
        <v>544</v>
      </c>
      <c r="C68" s="81" t="s">
        <v>559</v>
      </c>
      <c r="D68" s="81" t="s">
        <v>560</v>
      </c>
      <c r="E68" s="81" t="s">
        <v>561</v>
      </c>
      <c r="F68" s="81" t="s">
        <v>1915</v>
      </c>
      <c r="G68" s="111" t="s">
        <v>370</v>
      </c>
      <c r="H68" s="144" t="s">
        <v>16</v>
      </c>
      <c r="I68" s="85" t="s">
        <v>1904</v>
      </c>
      <c r="J68" s="108" t="s">
        <v>31</v>
      </c>
    </row>
    <row r="69" spans="1:10" ht="72" customHeight="1">
      <c r="A69" s="108" t="s">
        <v>96</v>
      </c>
      <c r="B69" s="81" t="s">
        <v>544</v>
      </c>
      <c r="C69" s="81" t="s">
        <v>562</v>
      </c>
      <c r="D69" s="81" t="s">
        <v>563</v>
      </c>
      <c r="E69" s="81" t="s">
        <v>564</v>
      </c>
      <c r="F69" s="81"/>
      <c r="G69" s="111"/>
      <c r="H69" s="114" t="s">
        <v>17</v>
      </c>
      <c r="I69" s="85"/>
      <c r="J69" s="108" t="s">
        <v>35</v>
      </c>
    </row>
    <row r="70" spans="1:10" ht="72" customHeight="1">
      <c r="A70" s="108" t="s">
        <v>97</v>
      </c>
      <c r="B70" s="81" t="s">
        <v>544</v>
      </c>
      <c r="C70" s="81" t="s">
        <v>565</v>
      </c>
      <c r="D70" s="81" t="s">
        <v>566</v>
      </c>
      <c r="E70" s="81" t="s">
        <v>567</v>
      </c>
      <c r="F70" s="81"/>
      <c r="G70" s="111"/>
      <c r="H70" s="114" t="s">
        <v>17</v>
      </c>
      <c r="I70" s="85"/>
      <c r="J70" s="108" t="s">
        <v>35</v>
      </c>
    </row>
    <row r="71" spans="1:10" ht="72" customHeight="1">
      <c r="A71" s="108" t="s">
        <v>98</v>
      </c>
      <c r="B71" s="81" t="s">
        <v>544</v>
      </c>
      <c r="C71" s="81" t="s">
        <v>568</v>
      </c>
      <c r="D71" s="81" t="s">
        <v>569</v>
      </c>
      <c r="E71" s="81" t="s">
        <v>570</v>
      </c>
      <c r="F71" s="81" t="s">
        <v>1916</v>
      </c>
      <c r="G71" s="111" t="s">
        <v>370</v>
      </c>
      <c r="H71" s="144" t="s">
        <v>16</v>
      </c>
      <c r="I71" s="85" t="s">
        <v>1904</v>
      </c>
      <c r="J71" s="108" t="s">
        <v>31</v>
      </c>
    </row>
    <row r="72" spans="1:10" ht="72" customHeight="1">
      <c r="A72" s="108" t="s">
        <v>99</v>
      </c>
      <c r="B72" s="81" t="s">
        <v>544</v>
      </c>
      <c r="C72" s="81" t="s">
        <v>571</v>
      </c>
      <c r="D72" s="81" t="s">
        <v>572</v>
      </c>
      <c r="E72" s="81" t="s">
        <v>573</v>
      </c>
      <c r="F72" s="81"/>
      <c r="G72" s="111"/>
      <c r="H72" s="114" t="s">
        <v>17</v>
      </c>
      <c r="I72" s="85"/>
      <c r="J72" s="108" t="s">
        <v>35</v>
      </c>
    </row>
    <row r="73" spans="1:10" ht="72" customHeight="1">
      <c r="A73" s="108" t="s">
        <v>100</v>
      </c>
      <c r="B73" s="81" t="s">
        <v>544</v>
      </c>
      <c r="C73" s="81" t="s">
        <v>574</v>
      </c>
      <c r="D73" s="81" t="s">
        <v>575</v>
      </c>
      <c r="E73" s="81" t="s">
        <v>576</v>
      </c>
      <c r="F73" s="81" t="s">
        <v>1917</v>
      </c>
      <c r="G73" s="111" t="s">
        <v>370</v>
      </c>
      <c r="H73" s="144" t="s">
        <v>16</v>
      </c>
      <c r="I73" s="85" t="s">
        <v>1904</v>
      </c>
      <c r="J73" s="108" t="s">
        <v>33</v>
      </c>
    </row>
    <row r="74" spans="1:10" ht="72" customHeight="1">
      <c r="A74" s="108" t="s">
        <v>101</v>
      </c>
      <c r="B74" s="81" t="s">
        <v>544</v>
      </c>
      <c r="C74" s="81" t="s">
        <v>577</v>
      </c>
      <c r="D74" s="81" t="s">
        <v>578</v>
      </c>
      <c r="E74" s="81" t="s">
        <v>579</v>
      </c>
      <c r="F74" s="81"/>
      <c r="G74" s="111"/>
      <c r="H74" s="114" t="s">
        <v>17</v>
      </c>
      <c r="I74" s="85"/>
      <c r="J74" s="108" t="s">
        <v>31</v>
      </c>
    </row>
    <row r="75" spans="1:10" ht="72" customHeight="1">
      <c r="A75" s="108" t="s">
        <v>102</v>
      </c>
      <c r="B75" s="81" t="s">
        <v>544</v>
      </c>
      <c r="C75" s="81" t="s">
        <v>580</v>
      </c>
      <c r="D75" s="81" t="s">
        <v>581</v>
      </c>
      <c r="E75" s="81" t="s">
        <v>582</v>
      </c>
      <c r="F75" s="81"/>
      <c r="G75" s="108"/>
      <c r="H75" s="117" t="s">
        <v>17</v>
      </c>
      <c r="I75" s="81"/>
      <c r="J75" s="108" t="s">
        <v>35</v>
      </c>
    </row>
    <row r="76" spans="1:10" ht="72" customHeight="1">
      <c r="A76" s="108" t="s">
        <v>103</v>
      </c>
      <c r="B76" s="81" t="s">
        <v>544</v>
      </c>
      <c r="C76" s="81" t="s">
        <v>583</v>
      </c>
      <c r="D76" s="81" t="s">
        <v>584</v>
      </c>
      <c r="E76" s="81" t="s">
        <v>585</v>
      </c>
      <c r="F76" s="81"/>
      <c r="G76" s="108"/>
      <c r="H76" s="114" t="s">
        <v>17</v>
      </c>
      <c r="I76" s="81"/>
      <c r="J76" s="108" t="s">
        <v>35</v>
      </c>
    </row>
    <row r="77" spans="1:10" ht="72" customHeight="1">
      <c r="A77" s="108" t="s">
        <v>104</v>
      </c>
      <c r="B77" s="81" t="s">
        <v>544</v>
      </c>
      <c r="C77" s="81" t="s">
        <v>586</v>
      </c>
      <c r="D77" s="81" t="s">
        <v>587</v>
      </c>
      <c r="E77" s="81" t="s">
        <v>588</v>
      </c>
      <c r="F77" s="81"/>
      <c r="G77" s="108"/>
      <c r="H77" s="114" t="s">
        <v>17</v>
      </c>
      <c r="I77" s="81"/>
      <c r="J77" s="108" t="s">
        <v>35</v>
      </c>
    </row>
    <row r="78" spans="1:10" ht="72" customHeight="1">
      <c r="A78" s="108" t="s">
        <v>105</v>
      </c>
      <c r="B78" s="81" t="s">
        <v>544</v>
      </c>
      <c r="C78" s="81" t="s">
        <v>589</v>
      </c>
      <c r="D78" s="81" t="s">
        <v>590</v>
      </c>
      <c r="E78" s="81" t="s">
        <v>591</v>
      </c>
      <c r="F78" s="81" t="s">
        <v>1918</v>
      </c>
      <c r="G78" s="108" t="s">
        <v>370</v>
      </c>
      <c r="H78" s="144" t="s">
        <v>16</v>
      </c>
      <c r="I78" s="81" t="s">
        <v>1904</v>
      </c>
      <c r="J78" s="108" t="s">
        <v>31</v>
      </c>
    </row>
    <row r="79" spans="1:10" ht="72" customHeight="1">
      <c r="A79" s="108" t="s">
        <v>106</v>
      </c>
      <c r="B79" s="81" t="s">
        <v>544</v>
      </c>
      <c r="C79" s="81" t="s">
        <v>592</v>
      </c>
      <c r="D79" s="81" t="s">
        <v>593</v>
      </c>
      <c r="E79" s="81" t="s">
        <v>594</v>
      </c>
      <c r="F79" s="81" t="s">
        <v>1919</v>
      </c>
      <c r="G79" s="108" t="s">
        <v>370</v>
      </c>
      <c r="H79" s="144" t="s">
        <v>16</v>
      </c>
      <c r="I79" s="81" t="s">
        <v>1904</v>
      </c>
      <c r="J79" s="108" t="s">
        <v>31</v>
      </c>
    </row>
    <row r="80" spans="1:10" ht="72" customHeight="1">
      <c r="A80" s="108" t="s">
        <v>107</v>
      </c>
      <c r="B80" s="81" t="s">
        <v>544</v>
      </c>
      <c r="C80" s="81" t="s">
        <v>595</v>
      </c>
      <c r="D80" s="81" t="s">
        <v>596</v>
      </c>
      <c r="E80" s="81" t="s">
        <v>597</v>
      </c>
      <c r="F80" s="81"/>
      <c r="G80" s="108"/>
      <c r="H80" s="114" t="s">
        <v>17</v>
      </c>
      <c r="I80" s="81"/>
      <c r="J80" s="108" t="s">
        <v>35</v>
      </c>
    </row>
    <row r="81" spans="1:10" ht="72" customHeight="1">
      <c r="A81" s="108" t="s">
        <v>108</v>
      </c>
      <c r="B81" s="81" t="s">
        <v>544</v>
      </c>
      <c r="C81" s="81" t="s">
        <v>598</v>
      </c>
      <c r="D81" s="81" t="s">
        <v>599</v>
      </c>
      <c r="E81" s="81" t="s">
        <v>600</v>
      </c>
      <c r="F81" s="81" t="s">
        <v>1920</v>
      </c>
      <c r="G81" s="108" t="s">
        <v>370</v>
      </c>
      <c r="H81" s="145" t="s">
        <v>16</v>
      </c>
      <c r="I81" s="81" t="s">
        <v>1904</v>
      </c>
      <c r="J81" s="108" t="s">
        <v>31</v>
      </c>
    </row>
    <row r="82" spans="1:10" ht="72" customHeight="1">
      <c r="A82" s="108" t="s">
        <v>109</v>
      </c>
      <c r="B82" s="81" t="s">
        <v>544</v>
      </c>
      <c r="C82" s="81" t="s">
        <v>601</v>
      </c>
      <c r="D82" s="81" t="s">
        <v>602</v>
      </c>
      <c r="E82" s="81" t="s">
        <v>603</v>
      </c>
      <c r="F82" s="81"/>
      <c r="G82" s="111"/>
      <c r="H82" s="114" t="s">
        <v>17</v>
      </c>
      <c r="I82" s="85"/>
      <c r="J82" s="108" t="s">
        <v>35</v>
      </c>
    </row>
    <row r="83" spans="1:10" ht="72" customHeight="1">
      <c r="A83" s="108" t="s">
        <v>110</v>
      </c>
      <c r="B83" s="81" t="s">
        <v>57</v>
      </c>
      <c r="C83" s="81" t="s">
        <v>604</v>
      </c>
      <c r="D83" s="81" t="s">
        <v>605</v>
      </c>
      <c r="E83" s="81" t="s">
        <v>451</v>
      </c>
      <c r="F83" s="81"/>
      <c r="G83" s="111"/>
      <c r="H83" s="114" t="s">
        <v>17</v>
      </c>
      <c r="I83" s="85"/>
      <c r="J83" s="108" t="s">
        <v>33</v>
      </c>
    </row>
    <row r="84" spans="1:10" ht="72" customHeight="1">
      <c r="A84" s="108" t="s">
        <v>111</v>
      </c>
      <c r="B84" s="81" t="s">
        <v>57</v>
      </c>
      <c r="C84" s="81" t="s">
        <v>606</v>
      </c>
      <c r="D84" s="81" t="s">
        <v>607</v>
      </c>
      <c r="E84" s="81" t="s">
        <v>454</v>
      </c>
      <c r="F84" s="81"/>
      <c r="G84" s="111"/>
      <c r="H84" s="114" t="s">
        <v>17</v>
      </c>
      <c r="I84" s="85"/>
      <c r="J84" s="108" t="s">
        <v>41</v>
      </c>
    </row>
    <row r="85" spans="1:10" ht="72" customHeight="1">
      <c r="A85" s="108" t="s">
        <v>112</v>
      </c>
      <c r="B85" s="81" t="s">
        <v>57</v>
      </c>
      <c r="C85" s="81" t="s">
        <v>608</v>
      </c>
      <c r="D85" s="81" t="s">
        <v>609</v>
      </c>
      <c r="E85" s="81" t="s">
        <v>457</v>
      </c>
      <c r="F85" s="81"/>
      <c r="G85" s="111"/>
      <c r="H85" s="114" t="s">
        <v>17</v>
      </c>
      <c r="I85" s="85"/>
      <c r="J85" s="108" t="s">
        <v>35</v>
      </c>
    </row>
    <row r="86" spans="1:10" ht="72" customHeight="1">
      <c r="A86" s="108" t="s">
        <v>113</v>
      </c>
      <c r="B86" s="81" t="s">
        <v>57</v>
      </c>
      <c r="C86" s="81" t="s">
        <v>610</v>
      </c>
      <c r="D86" s="81" t="s">
        <v>611</v>
      </c>
      <c r="E86" s="81" t="s">
        <v>612</v>
      </c>
      <c r="F86" s="81"/>
      <c r="G86" s="111"/>
      <c r="H86" s="114" t="s">
        <v>17</v>
      </c>
      <c r="I86" s="85"/>
      <c r="J86" s="108" t="s">
        <v>33</v>
      </c>
    </row>
    <row r="87" spans="1:10" ht="72" customHeight="1">
      <c r="A87" s="108" t="s">
        <v>114</v>
      </c>
      <c r="B87" s="81" t="s">
        <v>57</v>
      </c>
      <c r="C87" s="81" t="s">
        <v>613</v>
      </c>
      <c r="D87" s="81" t="s">
        <v>614</v>
      </c>
      <c r="E87" s="81" t="s">
        <v>615</v>
      </c>
      <c r="F87" s="81"/>
      <c r="G87" s="111"/>
      <c r="H87" s="114" t="s">
        <v>17</v>
      </c>
      <c r="I87" s="85"/>
      <c r="J87" s="108" t="s">
        <v>33</v>
      </c>
    </row>
    <row r="88" spans="1:10" ht="72" customHeight="1">
      <c r="A88" s="108" t="s">
        <v>115</v>
      </c>
      <c r="B88" s="81" t="s">
        <v>57</v>
      </c>
      <c r="C88" s="81" t="s">
        <v>616</v>
      </c>
      <c r="D88" s="81" t="s">
        <v>617</v>
      </c>
      <c r="E88" s="81" t="s">
        <v>466</v>
      </c>
      <c r="F88" s="81"/>
      <c r="G88" s="111"/>
      <c r="H88" s="114" t="s">
        <v>17</v>
      </c>
      <c r="I88" s="85"/>
      <c r="J88" s="108" t="s">
        <v>35</v>
      </c>
    </row>
    <row r="89" spans="1:10" ht="72" customHeight="1">
      <c r="A89" s="108" t="s">
        <v>116</v>
      </c>
      <c r="B89" s="81" t="s">
        <v>57</v>
      </c>
      <c r="C89" s="81" t="s">
        <v>618</v>
      </c>
      <c r="D89" s="81" t="s">
        <v>619</v>
      </c>
      <c r="E89" s="81" t="s">
        <v>469</v>
      </c>
      <c r="F89" s="81"/>
      <c r="G89" s="111"/>
      <c r="H89" s="114" t="s">
        <v>17</v>
      </c>
      <c r="I89" s="85"/>
      <c r="J89" s="108" t="s">
        <v>33</v>
      </c>
    </row>
    <row r="90" spans="1:10" ht="72" customHeight="1">
      <c r="A90" s="108" t="s">
        <v>117</v>
      </c>
      <c r="B90" s="81" t="s">
        <v>57</v>
      </c>
      <c r="C90" s="81" t="s">
        <v>620</v>
      </c>
      <c r="D90" s="81" t="s">
        <v>621</v>
      </c>
      <c r="E90" s="81" t="s">
        <v>472</v>
      </c>
      <c r="F90" s="81"/>
      <c r="G90" s="111"/>
      <c r="H90" s="114" t="s">
        <v>17</v>
      </c>
      <c r="I90" s="85"/>
      <c r="J90" s="108" t="s">
        <v>35</v>
      </c>
    </row>
    <row r="91" spans="1:10" ht="72" customHeight="1">
      <c r="A91" s="108" t="s">
        <v>118</v>
      </c>
      <c r="B91" s="81" t="s">
        <v>57</v>
      </c>
      <c r="C91" s="81" t="s">
        <v>622</v>
      </c>
      <c r="D91" s="81" t="s">
        <v>623</v>
      </c>
      <c r="E91" s="81" t="s">
        <v>624</v>
      </c>
      <c r="F91" s="81" t="s">
        <v>1921</v>
      </c>
      <c r="G91" s="111" t="s">
        <v>370</v>
      </c>
      <c r="H91" s="144" t="s">
        <v>16</v>
      </c>
      <c r="I91" s="85" t="s">
        <v>1904</v>
      </c>
      <c r="J91" s="108" t="s">
        <v>35</v>
      </c>
    </row>
    <row r="92" spans="1:10" ht="72" customHeight="1">
      <c r="A92" s="108" t="s">
        <v>119</v>
      </c>
      <c r="B92" s="81" t="s">
        <v>57</v>
      </c>
      <c r="C92" s="81" t="s">
        <v>625</v>
      </c>
      <c r="D92" s="81" t="s">
        <v>626</v>
      </c>
      <c r="E92" s="81" t="s">
        <v>627</v>
      </c>
      <c r="F92" s="81"/>
      <c r="G92" s="111"/>
      <c r="H92" s="114" t="s">
        <v>17</v>
      </c>
      <c r="I92" s="85"/>
      <c r="J92" s="108" t="s">
        <v>35</v>
      </c>
    </row>
    <row r="93" spans="1:10" ht="72" customHeight="1">
      <c r="A93" s="108" t="s">
        <v>120</v>
      </c>
      <c r="B93" s="81" t="s">
        <v>57</v>
      </c>
      <c r="C93" s="81" t="s">
        <v>628</v>
      </c>
      <c r="D93" s="81" t="s">
        <v>629</v>
      </c>
      <c r="E93" s="81" t="s">
        <v>630</v>
      </c>
      <c r="F93" s="81"/>
      <c r="G93" s="111"/>
      <c r="H93" s="114" t="s">
        <v>17</v>
      </c>
      <c r="I93" s="85"/>
      <c r="J93" s="108" t="s">
        <v>35</v>
      </c>
    </row>
    <row r="94" spans="1:10" ht="72" customHeight="1">
      <c r="A94" s="108" t="s">
        <v>121</v>
      </c>
      <c r="B94" s="81" t="s">
        <v>57</v>
      </c>
      <c r="C94" s="81" t="s">
        <v>631</v>
      </c>
      <c r="D94" s="81" t="s">
        <v>632</v>
      </c>
      <c r="E94" s="81" t="s">
        <v>633</v>
      </c>
      <c r="F94" s="81" t="s">
        <v>1922</v>
      </c>
      <c r="G94" s="111" t="s">
        <v>370</v>
      </c>
      <c r="H94" s="144" t="s">
        <v>16</v>
      </c>
      <c r="I94" s="85" t="s">
        <v>1904</v>
      </c>
      <c r="J94" s="108" t="s">
        <v>31</v>
      </c>
    </row>
    <row r="95" spans="1:10" ht="72" customHeight="1">
      <c r="A95" s="108" t="s">
        <v>122</v>
      </c>
      <c r="B95" s="81" t="s">
        <v>57</v>
      </c>
      <c r="C95" s="81" t="s">
        <v>634</v>
      </c>
      <c r="D95" s="81" t="s">
        <v>635</v>
      </c>
      <c r="E95" s="81" t="s">
        <v>636</v>
      </c>
      <c r="F95" s="81"/>
      <c r="G95" s="111"/>
      <c r="H95" s="114" t="s">
        <v>17</v>
      </c>
      <c r="I95" s="85"/>
      <c r="J95" s="108" t="s">
        <v>35</v>
      </c>
    </row>
    <row r="96" spans="1:10" ht="72" customHeight="1">
      <c r="A96" s="108" t="s">
        <v>123</v>
      </c>
      <c r="B96" s="81" t="s">
        <v>637</v>
      </c>
      <c r="C96" s="81" t="s">
        <v>638</v>
      </c>
      <c r="D96" s="81" t="s">
        <v>639</v>
      </c>
      <c r="E96" s="81" t="s">
        <v>451</v>
      </c>
      <c r="F96" s="81"/>
      <c r="G96" s="111"/>
      <c r="H96" s="114" t="s">
        <v>17</v>
      </c>
      <c r="I96" s="85"/>
      <c r="J96" s="108" t="s">
        <v>33</v>
      </c>
    </row>
    <row r="97" spans="1:10" ht="72" customHeight="1">
      <c r="A97" s="108" t="s">
        <v>124</v>
      </c>
      <c r="B97" s="81" t="s">
        <v>637</v>
      </c>
      <c r="C97" s="81" t="s">
        <v>640</v>
      </c>
      <c r="D97" s="81" t="s">
        <v>641</v>
      </c>
      <c r="E97" s="81" t="s">
        <v>454</v>
      </c>
      <c r="F97" s="81"/>
      <c r="G97" s="111"/>
      <c r="H97" s="114" t="s">
        <v>17</v>
      </c>
      <c r="I97" s="85"/>
      <c r="J97" s="108" t="s">
        <v>41</v>
      </c>
    </row>
    <row r="98" spans="1:10" ht="72" customHeight="1">
      <c r="A98" s="108" t="s">
        <v>125</v>
      </c>
      <c r="B98" s="81" t="s">
        <v>637</v>
      </c>
      <c r="C98" s="81" t="s">
        <v>642</v>
      </c>
      <c r="D98" s="81" t="s">
        <v>643</v>
      </c>
      <c r="E98" s="81" t="s">
        <v>457</v>
      </c>
      <c r="F98" s="81"/>
      <c r="G98" s="111"/>
      <c r="H98" s="114" t="s">
        <v>17</v>
      </c>
      <c r="I98" s="85"/>
      <c r="J98" s="108" t="s">
        <v>35</v>
      </c>
    </row>
    <row r="99" spans="1:10" ht="72" customHeight="1">
      <c r="A99" s="108" t="s">
        <v>126</v>
      </c>
      <c r="B99" s="81" t="s">
        <v>637</v>
      </c>
      <c r="C99" s="81" t="s">
        <v>644</v>
      </c>
      <c r="D99" s="81" t="s">
        <v>645</v>
      </c>
      <c r="E99" s="81" t="s">
        <v>646</v>
      </c>
      <c r="F99" s="81"/>
      <c r="G99" s="111"/>
      <c r="H99" s="114" t="s">
        <v>17</v>
      </c>
      <c r="I99" s="85"/>
      <c r="J99" s="108" t="s">
        <v>33</v>
      </c>
    </row>
    <row r="100" spans="1:10" ht="72" customHeight="1">
      <c r="A100" s="108" t="s">
        <v>127</v>
      </c>
      <c r="B100" s="81" t="s">
        <v>637</v>
      </c>
      <c r="C100" s="81" t="s">
        <v>647</v>
      </c>
      <c r="D100" s="81" t="s">
        <v>648</v>
      </c>
      <c r="E100" s="81" t="s">
        <v>649</v>
      </c>
      <c r="F100" s="81"/>
      <c r="G100" s="111"/>
      <c r="H100" s="114" t="s">
        <v>17</v>
      </c>
      <c r="I100" s="85"/>
      <c r="J100" s="108" t="s">
        <v>33</v>
      </c>
    </row>
    <row r="101" spans="1:10" ht="72" customHeight="1">
      <c r="A101" s="108" t="s">
        <v>128</v>
      </c>
      <c r="B101" s="81" t="s">
        <v>637</v>
      </c>
      <c r="C101" s="81" t="s">
        <v>650</v>
      </c>
      <c r="D101" s="81" t="s">
        <v>651</v>
      </c>
      <c r="E101" s="81" t="s">
        <v>466</v>
      </c>
      <c r="F101" s="81"/>
      <c r="G101" s="111"/>
      <c r="H101" s="114" t="s">
        <v>17</v>
      </c>
      <c r="I101" s="85"/>
      <c r="J101" s="108" t="s">
        <v>35</v>
      </c>
    </row>
    <row r="102" spans="1:10" ht="72" customHeight="1">
      <c r="A102" s="108" t="s">
        <v>129</v>
      </c>
      <c r="B102" s="81" t="s">
        <v>637</v>
      </c>
      <c r="C102" s="81" t="s">
        <v>652</v>
      </c>
      <c r="D102" s="81" t="s">
        <v>653</v>
      </c>
      <c r="E102" s="81" t="s">
        <v>469</v>
      </c>
      <c r="F102" s="81"/>
      <c r="G102" s="108"/>
      <c r="H102" s="117" t="s">
        <v>17</v>
      </c>
      <c r="I102" s="81"/>
      <c r="J102" s="108" t="s">
        <v>33</v>
      </c>
    </row>
    <row r="103" spans="1:10" ht="72" customHeight="1">
      <c r="A103" s="108" t="s">
        <v>130</v>
      </c>
      <c r="B103" s="81" t="s">
        <v>637</v>
      </c>
      <c r="C103" s="81" t="s">
        <v>654</v>
      </c>
      <c r="D103" s="81" t="s">
        <v>655</v>
      </c>
      <c r="E103" s="81" t="s">
        <v>472</v>
      </c>
      <c r="F103" s="81"/>
      <c r="G103" s="108"/>
      <c r="H103" s="115" t="s">
        <v>17</v>
      </c>
      <c r="I103" s="81"/>
      <c r="J103" s="108" t="s">
        <v>35</v>
      </c>
    </row>
    <row r="104" spans="1:10" ht="72" customHeight="1">
      <c r="A104" s="108" t="s">
        <v>131</v>
      </c>
      <c r="B104" s="81" t="s">
        <v>637</v>
      </c>
      <c r="C104" s="81" t="s">
        <v>656</v>
      </c>
      <c r="D104" s="81" t="s">
        <v>657</v>
      </c>
      <c r="E104" s="81" t="s">
        <v>658</v>
      </c>
      <c r="F104" s="81"/>
      <c r="G104" s="111"/>
      <c r="H104" s="114" t="s">
        <v>17</v>
      </c>
      <c r="I104" s="85"/>
      <c r="J104" s="108" t="s">
        <v>35</v>
      </c>
    </row>
    <row r="105" spans="1:10" ht="72" customHeight="1">
      <c r="A105" s="108" t="s">
        <v>132</v>
      </c>
      <c r="B105" s="81" t="s">
        <v>637</v>
      </c>
      <c r="C105" s="81" t="s">
        <v>659</v>
      </c>
      <c r="D105" s="81" t="s">
        <v>660</v>
      </c>
      <c r="E105" s="81" t="s">
        <v>451</v>
      </c>
      <c r="F105" s="81"/>
      <c r="G105" s="111"/>
      <c r="H105" s="114" t="s">
        <v>17</v>
      </c>
      <c r="I105" s="85"/>
      <c r="J105" s="108" t="s">
        <v>33</v>
      </c>
    </row>
    <row r="106" spans="1:10" ht="72" customHeight="1">
      <c r="A106" s="108" t="s">
        <v>133</v>
      </c>
      <c r="B106" s="81" t="s">
        <v>637</v>
      </c>
      <c r="C106" s="81" t="s">
        <v>661</v>
      </c>
      <c r="D106" s="81" t="s">
        <v>662</v>
      </c>
      <c r="E106" s="81" t="s">
        <v>454</v>
      </c>
      <c r="F106" s="81"/>
      <c r="G106" s="111"/>
      <c r="H106" s="114" t="s">
        <v>17</v>
      </c>
      <c r="I106" s="85"/>
      <c r="J106" s="108" t="s">
        <v>41</v>
      </c>
    </row>
    <row r="107" spans="1:10" ht="72" customHeight="1">
      <c r="A107" s="108" t="s">
        <v>135</v>
      </c>
      <c r="B107" s="81" t="s">
        <v>637</v>
      </c>
      <c r="C107" s="81" t="s">
        <v>663</v>
      </c>
      <c r="D107" s="81" t="s">
        <v>664</v>
      </c>
      <c r="E107" s="81" t="s">
        <v>457</v>
      </c>
      <c r="F107" s="81" t="s">
        <v>1923</v>
      </c>
      <c r="G107" s="111" t="s">
        <v>370</v>
      </c>
      <c r="H107" s="144" t="s">
        <v>16</v>
      </c>
      <c r="I107" s="85" t="s">
        <v>1904</v>
      </c>
      <c r="J107" s="108" t="s">
        <v>35</v>
      </c>
    </row>
    <row r="108" spans="1:10" ht="72" customHeight="1">
      <c r="A108" s="108" t="s">
        <v>136</v>
      </c>
      <c r="B108" s="81" t="s">
        <v>637</v>
      </c>
      <c r="C108" s="81" t="s">
        <v>665</v>
      </c>
      <c r="D108" s="81" t="s">
        <v>666</v>
      </c>
      <c r="E108" s="81" t="s">
        <v>667</v>
      </c>
      <c r="F108" s="81" t="s">
        <v>1924</v>
      </c>
      <c r="G108" s="111" t="s">
        <v>370</v>
      </c>
      <c r="H108" s="144" t="s">
        <v>16</v>
      </c>
      <c r="I108" s="85" t="s">
        <v>1904</v>
      </c>
      <c r="J108" s="108" t="s">
        <v>33</v>
      </c>
    </row>
    <row r="109" spans="1:10" ht="72" customHeight="1">
      <c r="A109" s="108" t="s">
        <v>137</v>
      </c>
      <c r="B109" s="81" t="s">
        <v>637</v>
      </c>
      <c r="C109" s="81" t="s">
        <v>668</v>
      </c>
      <c r="D109" s="81" t="s">
        <v>669</v>
      </c>
      <c r="E109" s="81" t="s">
        <v>670</v>
      </c>
      <c r="F109" s="81" t="s">
        <v>1925</v>
      </c>
      <c r="G109" s="111" t="s">
        <v>370</v>
      </c>
      <c r="H109" s="144" t="s">
        <v>16</v>
      </c>
      <c r="I109" s="85" t="s">
        <v>1904</v>
      </c>
      <c r="J109" s="108" t="s">
        <v>33</v>
      </c>
    </row>
    <row r="110" spans="1:10" ht="72" customHeight="1">
      <c r="A110" s="108" t="s">
        <v>138</v>
      </c>
      <c r="B110" s="81" t="s">
        <v>637</v>
      </c>
      <c r="C110" s="81" t="s">
        <v>671</v>
      </c>
      <c r="D110" s="81" t="s">
        <v>672</v>
      </c>
      <c r="E110" s="81" t="s">
        <v>466</v>
      </c>
      <c r="F110" s="81"/>
      <c r="G110" s="111"/>
      <c r="H110" s="114" t="s">
        <v>17</v>
      </c>
      <c r="I110" s="85"/>
      <c r="J110" s="108" t="s">
        <v>35</v>
      </c>
    </row>
    <row r="111" spans="1:10" ht="72" customHeight="1">
      <c r="A111" s="108" t="s">
        <v>139</v>
      </c>
      <c r="B111" s="81" t="s">
        <v>637</v>
      </c>
      <c r="C111" s="81" t="s">
        <v>673</v>
      </c>
      <c r="D111" s="81" t="s">
        <v>674</v>
      </c>
      <c r="E111" s="81" t="s">
        <v>469</v>
      </c>
      <c r="F111" s="81"/>
      <c r="G111" s="111"/>
      <c r="H111" s="114" t="s">
        <v>17</v>
      </c>
      <c r="I111" s="85"/>
      <c r="J111" s="108" t="s">
        <v>33</v>
      </c>
    </row>
    <row r="112" spans="1:10" ht="72" customHeight="1">
      <c r="A112" s="108" t="s">
        <v>140</v>
      </c>
      <c r="B112" s="81" t="s">
        <v>637</v>
      </c>
      <c r="C112" s="81" t="s">
        <v>675</v>
      </c>
      <c r="D112" s="81" t="s">
        <v>676</v>
      </c>
      <c r="E112" s="81" t="s">
        <v>472</v>
      </c>
      <c r="F112" s="81"/>
      <c r="G112" s="108"/>
      <c r="H112" s="117" t="s">
        <v>17</v>
      </c>
      <c r="I112" s="81"/>
      <c r="J112" s="108" t="s">
        <v>35</v>
      </c>
    </row>
    <row r="113" spans="1:10" ht="72" customHeight="1">
      <c r="A113" s="108" t="s">
        <v>141</v>
      </c>
      <c r="B113" s="81" t="s">
        <v>637</v>
      </c>
      <c r="C113" s="81" t="s">
        <v>677</v>
      </c>
      <c r="D113" s="81" t="s">
        <v>678</v>
      </c>
      <c r="E113" s="81" t="s">
        <v>679</v>
      </c>
      <c r="F113" s="81" t="s">
        <v>1926</v>
      </c>
      <c r="G113" s="108" t="s">
        <v>370</v>
      </c>
      <c r="H113" s="144" t="s">
        <v>16</v>
      </c>
      <c r="I113" s="81" t="s">
        <v>1904</v>
      </c>
      <c r="J113" s="108" t="s">
        <v>35</v>
      </c>
    </row>
    <row r="114" spans="1:10" ht="72" customHeight="1">
      <c r="A114" s="108" t="s">
        <v>142</v>
      </c>
      <c r="B114" s="81" t="s">
        <v>680</v>
      </c>
      <c r="C114" s="81" t="s">
        <v>681</v>
      </c>
      <c r="D114" s="81" t="s">
        <v>682</v>
      </c>
      <c r="E114" s="81" t="s">
        <v>683</v>
      </c>
      <c r="F114" s="81"/>
      <c r="G114" s="108"/>
      <c r="H114" s="114" t="s">
        <v>17</v>
      </c>
      <c r="I114" s="81"/>
      <c r="J114" s="108" t="s">
        <v>35</v>
      </c>
    </row>
    <row r="115" spans="1:10" ht="72" customHeight="1">
      <c r="A115" s="108" t="s">
        <v>143</v>
      </c>
      <c r="B115" s="81" t="s">
        <v>680</v>
      </c>
      <c r="C115" s="81" t="s">
        <v>684</v>
      </c>
      <c r="D115" s="81" t="s">
        <v>685</v>
      </c>
      <c r="E115" s="81" t="s">
        <v>686</v>
      </c>
      <c r="F115" s="81"/>
      <c r="G115" s="108"/>
      <c r="H115" s="115" t="s">
        <v>17</v>
      </c>
      <c r="I115" s="81"/>
      <c r="J115" s="108" t="s">
        <v>31</v>
      </c>
    </row>
    <row r="116" spans="1:10" ht="72" customHeight="1">
      <c r="A116" s="108" t="s">
        <v>144</v>
      </c>
      <c r="B116" s="81" t="s">
        <v>680</v>
      </c>
      <c r="C116" s="81" t="s">
        <v>687</v>
      </c>
      <c r="D116" s="81" t="s">
        <v>688</v>
      </c>
      <c r="E116" s="81" t="s">
        <v>689</v>
      </c>
      <c r="F116" s="81"/>
      <c r="G116" s="111"/>
      <c r="H116" s="114" t="s">
        <v>17</v>
      </c>
      <c r="I116" s="85"/>
      <c r="J116" s="108" t="s">
        <v>35</v>
      </c>
    </row>
    <row r="117" spans="1:10" ht="72" customHeight="1">
      <c r="A117" s="108" t="s">
        <v>145</v>
      </c>
      <c r="B117" s="81" t="s">
        <v>680</v>
      </c>
      <c r="C117" s="81" t="s">
        <v>690</v>
      </c>
      <c r="D117" s="81" t="s">
        <v>691</v>
      </c>
      <c r="E117" s="81" t="s">
        <v>692</v>
      </c>
      <c r="F117" s="81" t="s">
        <v>1927</v>
      </c>
      <c r="G117" s="111" t="s">
        <v>370</v>
      </c>
      <c r="H117" s="144" t="s">
        <v>16</v>
      </c>
      <c r="I117" s="85" t="s">
        <v>1904</v>
      </c>
      <c r="J117" s="108" t="s">
        <v>31</v>
      </c>
    </row>
    <row r="118" spans="1:10" ht="72" customHeight="1">
      <c r="A118" s="108" t="s">
        <v>146</v>
      </c>
      <c r="B118" s="81" t="s">
        <v>680</v>
      </c>
      <c r="C118" s="81" t="s">
        <v>693</v>
      </c>
      <c r="D118" s="81" t="s">
        <v>694</v>
      </c>
      <c r="E118" s="81" t="s">
        <v>695</v>
      </c>
      <c r="F118" s="81"/>
      <c r="G118" s="111"/>
      <c r="H118" s="114" t="s">
        <v>17</v>
      </c>
      <c r="I118" s="85"/>
      <c r="J118" s="108" t="s">
        <v>35</v>
      </c>
    </row>
    <row r="119" spans="1:10" ht="72" customHeight="1">
      <c r="A119" s="108" t="s">
        <v>147</v>
      </c>
      <c r="B119" s="81" t="s">
        <v>680</v>
      </c>
      <c r="C119" s="81" t="s">
        <v>696</v>
      </c>
      <c r="D119" s="81" t="s">
        <v>697</v>
      </c>
      <c r="E119" s="81" t="s">
        <v>698</v>
      </c>
      <c r="F119" s="81"/>
      <c r="G119" s="111"/>
      <c r="H119" s="114" t="s">
        <v>17</v>
      </c>
      <c r="I119" s="85"/>
      <c r="J119" s="108" t="s">
        <v>35</v>
      </c>
    </row>
    <row r="120" spans="1:10" ht="72" customHeight="1">
      <c r="A120" s="108" t="s">
        <v>148</v>
      </c>
      <c r="B120" s="81" t="s">
        <v>680</v>
      </c>
      <c r="C120" s="81" t="s">
        <v>699</v>
      </c>
      <c r="D120" s="81" t="s">
        <v>700</v>
      </c>
      <c r="E120" s="81" t="s">
        <v>451</v>
      </c>
      <c r="F120" s="81"/>
      <c r="G120" s="111"/>
      <c r="H120" s="114" t="s">
        <v>17</v>
      </c>
      <c r="I120" s="85"/>
      <c r="J120" s="108" t="s">
        <v>33</v>
      </c>
    </row>
    <row r="121" spans="1:10" ht="72" customHeight="1">
      <c r="A121" s="108" t="s">
        <v>149</v>
      </c>
      <c r="B121" s="81" t="s">
        <v>680</v>
      </c>
      <c r="C121" s="81" t="s">
        <v>701</v>
      </c>
      <c r="D121" s="81" t="s">
        <v>702</v>
      </c>
      <c r="E121" s="81" t="s">
        <v>454</v>
      </c>
      <c r="F121" s="81"/>
      <c r="G121" s="111"/>
      <c r="H121" s="114" t="s">
        <v>17</v>
      </c>
      <c r="I121" s="85"/>
      <c r="J121" s="108" t="s">
        <v>41</v>
      </c>
    </row>
    <row r="122" spans="1:10" ht="72" customHeight="1">
      <c r="A122" s="108" t="s">
        <v>150</v>
      </c>
      <c r="B122" s="81" t="s">
        <v>680</v>
      </c>
      <c r="C122" s="81" t="s">
        <v>703</v>
      </c>
      <c r="D122" s="81" t="s">
        <v>704</v>
      </c>
      <c r="E122" s="81" t="s">
        <v>457</v>
      </c>
      <c r="F122" s="81"/>
      <c r="G122" s="111"/>
      <c r="H122" s="114" t="s">
        <v>17</v>
      </c>
      <c r="I122" s="85"/>
      <c r="J122" s="108" t="s">
        <v>35</v>
      </c>
    </row>
    <row r="123" spans="1:10" ht="72" customHeight="1">
      <c r="A123" s="108" t="s">
        <v>151</v>
      </c>
      <c r="B123" s="81" t="s">
        <v>680</v>
      </c>
      <c r="C123" s="81" t="s">
        <v>705</v>
      </c>
      <c r="D123" s="81" t="s">
        <v>706</v>
      </c>
      <c r="E123" s="81" t="s">
        <v>707</v>
      </c>
      <c r="F123" s="81"/>
      <c r="G123" s="111"/>
      <c r="H123" s="114" t="s">
        <v>17</v>
      </c>
      <c r="I123" s="85"/>
      <c r="J123" s="108" t="s">
        <v>33</v>
      </c>
    </row>
    <row r="124" spans="1:10" ht="72" customHeight="1">
      <c r="A124" s="108" t="s">
        <v>152</v>
      </c>
      <c r="B124" s="81" t="s">
        <v>680</v>
      </c>
      <c r="C124" s="81" t="s">
        <v>708</v>
      </c>
      <c r="D124" s="81" t="s">
        <v>709</v>
      </c>
      <c r="E124" s="81" t="s">
        <v>466</v>
      </c>
      <c r="F124" s="81"/>
      <c r="G124" s="111"/>
      <c r="H124" s="114" t="s">
        <v>17</v>
      </c>
      <c r="I124" s="85"/>
      <c r="J124" s="108" t="s">
        <v>35</v>
      </c>
    </row>
    <row r="125" spans="1:10" ht="72" customHeight="1">
      <c r="A125" s="108" t="s">
        <v>153</v>
      </c>
      <c r="B125" s="81" t="s">
        <v>680</v>
      </c>
      <c r="C125" s="81" t="s">
        <v>710</v>
      </c>
      <c r="D125" s="81" t="s">
        <v>711</v>
      </c>
      <c r="E125" s="81" t="s">
        <v>469</v>
      </c>
      <c r="F125" s="81"/>
      <c r="G125" s="111"/>
      <c r="H125" s="114" t="s">
        <v>17</v>
      </c>
      <c r="I125" s="85"/>
      <c r="J125" s="108" t="s">
        <v>33</v>
      </c>
    </row>
    <row r="126" spans="1:10" ht="72" customHeight="1">
      <c r="A126" s="108" t="s">
        <v>154</v>
      </c>
      <c r="B126" s="81" t="s">
        <v>680</v>
      </c>
      <c r="C126" s="81" t="s">
        <v>712</v>
      </c>
      <c r="D126" s="81" t="s">
        <v>713</v>
      </c>
      <c r="E126" s="81" t="s">
        <v>472</v>
      </c>
      <c r="F126" s="81"/>
      <c r="G126" s="111"/>
      <c r="H126" s="114" t="s">
        <v>17</v>
      </c>
      <c r="I126" s="85"/>
      <c r="J126" s="108" t="s">
        <v>35</v>
      </c>
    </row>
    <row r="127" spans="1:10" ht="72" customHeight="1">
      <c r="A127" s="108" t="s">
        <v>155</v>
      </c>
      <c r="B127" s="81" t="s">
        <v>680</v>
      </c>
      <c r="C127" s="81" t="s">
        <v>714</v>
      </c>
      <c r="D127" s="81" t="s">
        <v>715</v>
      </c>
      <c r="E127" s="81" t="s">
        <v>716</v>
      </c>
      <c r="F127" s="81"/>
      <c r="G127" s="111"/>
      <c r="H127" s="114" t="s">
        <v>17</v>
      </c>
      <c r="I127" s="85"/>
      <c r="J127" s="108" t="s">
        <v>35</v>
      </c>
    </row>
    <row r="128" spans="1:10" ht="72" customHeight="1">
      <c r="A128" s="108" t="s">
        <v>156</v>
      </c>
      <c r="B128" s="81" t="s">
        <v>717</v>
      </c>
      <c r="C128" s="81" t="s">
        <v>718</v>
      </c>
      <c r="D128" s="81" t="s">
        <v>719</v>
      </c>
      <c r="E128" s="81" t="s">
        <v>720</v>
      </c>
      <c r="F128" s="81"/>
      <c r="G128" s="111"/>
      <c r="H128" s="114" t="s">
        <v>17</v>
      </c>
      <c r="I128" s="85"/>
      <c r="J128" s="108" t="s">
        <v>31</v>
      </c>
    </row>
    <row r="129" spans="1:10" ht="72" customHeight="1">
      <c r="A129" s="108" t="s">
        <v>157</v>
      </c>
      <c r="B129" s="81" t="s">
        <v>717</v>
      </c>
      <c r="C129" s="81" t="s">
        <v>721</v>
      </c>
      <c r="D129" s="81" t="s">
        <v>722</v>
      </c>
      <c r="E129" s="81" t="s">
        <v>723</v>
      </c>
      <c r="F129" s="81"/>
      <c r="G129" s="111"/>
      <c r="H129" s="114" t="s">
        <v>17</v>
      </c>
      <c r="I129" s="85"/>
      <c r="J129" s="108" t="s">
        <v>35</v>
      </c>
    </row>
    <row r="130" spans="1:10" ht="72" customHeight="1">
      <c r="A130" s="108" t="s">
        <v>158</v>
      </c>
      <c r="B130" s="81" t="s">
        <v>717</v>
      </c>
      <c r="C130" s="81" t="s">
        <v>724</v>
      </c>
      <c r="D130" s="81" t="s">
        <v>725</v>
      </c>
      <c r="E130" s="81" t="s">
        <v>726</v>
      </c>
      <c r="F130" s="81"/>
      <c r="G130" s="111"/>
      <c r="H130" s="114" t="s">
        <v>17</v>
      </c>
      <c r="I130" s="85"/>
      <c r="J130" s="108" t="s">
        <v>31</v>
      </c>
    </row>
    <row r="131" spans="1:10" ht="72" customHeight="1">
      <c r="A131" s="108" t="s">
        <v>159</v>
      </c>
      <c r="B131" s="81" t="s">
        <v>717</v>
      </c>
      <c r="C131" s="81" t="s">
        <v>727</v>
      </c>
      <c r="D131" s="81" t="s">
        <v>728</v>
      </c>
      <c r="E131" s="81" t="s">
        <v>729</v>
      </c>
      <c r="F131" s="81"/>
      <c r="G131" s="111"/>
      <c r="H131" s="114" t="s">
        <v>17</v>
      </c>
      <c r="I131" s="85"/>
      <c r="J131" s="108" t="s">
        <v>31</v>
      </c>
    </row>
    <row r="132" spans="1:10" ht="72" customHeight="1">
      <c r="A132" s="108" t="s">
        <v>160</v>
      </c>
      <c r="B132" s="81" t="s">
        <v>717</v>
      </c>
      <c r="C132" s="81" t="s">
        <v>730</v>
      </c>
      <c r="D132" s="81" t="s">
        <v>731</v>
      </c>
      <c r="E132" s="81" t="s">
        <v>732</v>
      </c>
      <c r="F132" s="81"/>
      <c r="G132" s="111"/>
      <c r="H132" s="114" t="s">
        <v>17</v>
      </c>
      <c r="I132" s="85"/>
      <c r="J132" s="108" t="s">
        <v>35</v>
      </c>
    </row>
    <row r="133" spans="1:10" ht="72" customHeight="1">
      <c r="A133" s="108" t="s">
        <v>161</v>
      </c>
      <c r="B133" s="81" t="s">
        <v>717</v>
      </c>
      <c r="C133" s="81" t="s">
        <v>733</v>
      </c>
      <c r="D133" s="81" t="s">
        <v>734</v>
      </c>
      <c r="E133" s="81" t="s">
        <v>735</v>
      </c>
      <c r="F133" s="81"/>
      <c r="G133" s="111"/>
      <c r="H133" s="114" t="s">
        <v>17</v>
      </c>
      <c r="I133" s="85"/>
      <c r="J133" s="108" t="s">
        <v>31</v>
      </c>
    </row>
    <row r="134" spans="1:10" ht="72" customHeight="1">
      <c r="A134" s="108" t="s">
        <v>162</v>
      </c>
      <c r="B134" s="81" t="s">
        <v>717</v>
      </c>
      <c r="C134" s="81" t="s">
        <v>736</v>
      </c>
      <c r="D134" s="81" t="s">
        <v>737</v>
      </c>
      <c r="E134" s="81" t="s">
        <v>738</v>
      </c>
      <c r="F134" s="81"/>
      <c r="G134" s="111"/>
      <c r="H134" s="114" t="s">
        <v>17</v>
      </c>
      <c r="I134" s="85"/>
      <c r="J134" s="108" t="s">
        <v>31</v>
      </c>
    </row>
    <row r="135" spans="1:10" ht="72" customHeight="1">
      <c r="A135" s="108" t="s">
        <v>163</v>
      </c>
      <c r="B135" s="81" t="s">
        <v>717</v>
      </c>
      <c r="C135" s="81" t="s">
        <v>739</v>
      </c>
      <c r="D135" s="81" t="s">
        <v>740</v>
      </c>
      <c r="E135" s="81" t="s">
        <v>741</v>
      </c>
      <c r="F135" s="81"/>
      <c r="G135" s="111"/>
      <c r="H135" s="114" t="s">
        <v>17</v>
      </c>
      <c r="I135" s="85"/>
      <c r="J135" s="108" t="s">
        <v>31</v>
      </c>
    </row>
    <row r="136" spans="1:10" ht="72" customHeight="1">
      <c r="A136" s="108" t="s">
        <v>164</v>
      </c>
      <c r="B136" s="81" t="s">
        <v>742</v>
      </c>
      <c r="C136" s="81" t="s">
        <v>743</v>
      </c>
      <c r="D136" s="81" t="s">
        <v>744</v>
      </c>
      <c r="E136" s="81" t="s">
        <v>745</v>
      </c>
      <c r="F136" s="81"/>
      <c r="G136" s="111"/>
      <c r="H136" s="114" t="s">
        <v>17</v>
      </c>
      <c r="I136" s="85"/>
      <c r="J136" s="108" t="s">
        <v>33</v>
      </c>
    </row>
    <row r="137" spans="1:10" ht="72" customHeight="1">
      <c r="A137" s="108" t="s">
        <v>165</v>
      </c>
      <c r="B137" s="81" t="s">
        <v>742</v>
      </c>
      <c r="C137" s="81" t="s">
        <v>746</v>
      </c>
      <c r="D137" s="81" t="s">
        <v>747</v>
      </c>
      <c r="E137" s="81" t="s">
        <v>748</v>
      </c>
      <c r="F137" s="81"/>
      <c r="G137" s="108"/>
      <c r="H137" s="117" t="s">
        <v>17</v>
      </c>
      <c r="I137" s="81"/>
      <c r="J137" s="108" t="s">
        <v>35</v>
      </c>
    </row>
    <row r="138" spans="1:10" ht="72" customHeight="1">
      <c r="A138" s="108" t="s">
        <v>166</v>
      </c>
      <c r="B138" s="81" t="s">
        <v>742</v>
      </c>
      <c r="C138" s="81" t="s">
        <v>749</v>
      </c>
      <c r="D138" s="81" t="s">
        <v>750</v>
      </c>
      <c r="E138" s="81" t="s">
        <v>751</v>
      </c>
      <c r="F138" s="81"/>
      <c r="G138" s="108"/>
      <c r="H138" s="114" t="s">
        <v>17</v>
      </c>
      <c r="I138" s="81"/>
      <c r="J138" s="108" t="s">
        <v>31</v>
      </c>
    </row>
    <row r="139" spans="1:10" ht="72" customHeight="1">
      <c r="A139" s="108" t="s">
        <v>167</v>
      </c>
      <c r="B139" s="81" t="s">
        <v>742</v>
      </c>
      <c r="C139" s="81" t="s">
        <v>752</v>
      </c>
      <c r="D139" s="81" t="s">
        <v>753</v>
      </c>
      <c r="E139" s="81" t="s">
        <v>754</v>
      </c>
      <c r="F139" s="81"/>
      <c r="G139" s="108"/>
      <c r="H139" s="114" t="s">
        <v>17</v>
      </c>
      <c r="I139" s="81"/>
      <c r="J139" s="108" t="s">
        <v>31</v>
      </c>
    </row>
    <row r="140" spans="1:10" ht="72" customHeight="1">
      <c r="A140" s="108" t="s">
        <v>168</v>
      </c>
      <c r="B140" s="81" t="s">
        <v>742</v>
      </c>
      <c r="C140" s="81" t="s">
        <v>755</v>
      </c>
      <c r="D140" s="81" t="s">
        <v>756</v>
      </c>
      <c r="E140" s="81" t="s">
        <v>757</v>
      </c>
      <c r="F140" s="81"/>
      <c r="G140" s="108"/>
      <c r="H140" s="114" t="s">
        <v>17</v>
      </c>
      <c r="I140" s="81"/>
      <c r="J140" s="108" t="s">
        <v>35</v>
      </c>
    </row>
    <row r="141" spans="1:10" ht="72" customHeight="1">
      <c r="A141" s="108" t="s">
        <v>169</v>
      </c>
      <c r="B141" s="81" t="s">
        <v>742</v>
      </c>
      <c r="C141" s="81" t="s">
        <v>758</v>
      </c>
      <c r="D141" s="81" t="s">
        <v>759</v>
      </c>
      <c r="E141" s="81" t="s">
        <v>760</v>
      </c>
      <c r="F141" s="81"/>
      <c r="G141" s="108"/>
      <c r="H141" s="114" t="s">
        <v>17</v>
      </c>
      <c r="I141" s="81"/>
      <c r="J141" s="108" t="s">
        <v>35</v>
      </c>
    </row>
    <row r="142" spans="1:10" ht="72" customHeight="1">
      <c r="A142" s="108" t="s">
        <v>170</v>
      </c>
      <c r="B142" s="81" t="s">
        <v>742</v>
      </c>
      <c r="C142" s="81" t="s">
        <v>761</v>
      </c>
      <c r="D142" s="81" t="s">
        <v>762</v>
      </c>
      <c r="E142" s="81" t="s">
        <v>763</v>
      </c>
      <c r="F142" s="81"/>
      <c r="G142" s="108"/>
      <c r="H142" s="115" t="s">
        <v>17</v>
      </c>
      <c r="I142" s="81"/>
      <c r="J142" s="108" t="s">
        <v>31</v>
      </c>
    </row>
    <row r="143" spans="1:10" ht="72" customHeight="1">
      <c r="A143" s="108" t="s">
        <v>171</v>
      </c>
      <c r="B143" s="81" t="s">
        <v>764</v>
      </c>
      <c r="C143" s="81" t="s">
        <v>765</v>
      </c>
      <c r="D143" s="81" t="s">
        <v>766</v>
      </c>
      <c r="E143" s="81" t="s">
        <v>767</v>
      </c>
      <c r="F143" s="81"/>
      <c r="G143" s="111"/>
      <c r="H143" s="114" t="s">
        <v>17</v>
      </c>
      <c r="I143" s="85"/>
      <c r="J143" s="108" t="s">
        <v>35</v>
      </c>
    </row>
    <row r="144" spans="1:10" ht="72" customHeight="1">
      <c r="A144" s="108" t="s">
        <v>172</v>
      </c>
      <c r="B144" s="81" t="s">
        <v>764</v>
      </c>
      <c r="C144" s="81" t="s">
        <v>768</v>
      </c>
      <c r="D144" s="81" t="s">
        <v>769</v>
      </c>
      <c r="E144" s="81" t="s">
        <v>770</v>
      </c>
      <c r="F144" s="81"/>
      <c r="G144" s="111"/>
      <c r="H144" s="114" t="s">
        <v>17</v>
      </c>
      <c r="I144" s="85"/>
      <c r="J144" s="108" t="s">
        <v>31</v>
      </c>
    </row>
    <row r="145" spans="1:10" ht="72" customHeight="1">
      <c r="A145" s="108" t="s">
        <v>173</v>
      </c>
      <c r="B145" s="81" t="s">
        <v>764</v>
      </c>
      <c r="C145" s="81" t="s">
        <v>771</v>
      </c>
      <c r="D145" s="81" t="s">
        <v>772</v>
      </c>
      <c r="E145" s="81" t="s">
        <v>773</v>
      </c>
      <c r="F145" s="81" t="s">
        <v>1928</v>
      </c>
      <c r="G145" s="111" t="s">
        <v>370</v>
      </c>
      <c r="H145" s="144" t="s">
        <v>16</v>
      </c>
      <c r="I145" s="85" t="s">
        <v>1904</v>
      </c>
      <c r="J145" s="108" t="s">
        <v>31</v>
      </c>
    </row>
    <row r="146" spans="1:10" ht="72" customHeight="1">
      <c r="A146" s="108" t="s">
        <v>174</v>
      </c>
      <c r="B146" s="81" t="s">
        <v>764</v>
      </c>
      <c r="C146" s="81" t="s">
        <v>774</v>
      </c>
      <c r="D146" s="81" t="s">
        <v>775</v>
      </c>
      <c r="E146" s="81" t="s">
        <v>776</v>
      </c>
      <c r="F146" s="81" t="s">
        <v>1929</v>
      </c>
      <c r="G146" s="111" t="s">
        <v>370</v>
      </c>
      <c r="H146" s="144" t="s">
        <v>16</v>
      </c>
      <c r="I146" s="85" t="s">
        <v>1904</v>
      </c>
      <c r="J146" s="108" t="s">
        <v>31</v>
      </c>
    </row>
    <row r="147" spans="1:10" ht="72" customHeight="1">
      <c r="A147" s="108" t="s">
        <v>175</v>
      </c>
      <c r="B147" s="81" t="s">
        <v>764</v>
      </c>
      <c r="C147" s="81" t="s">
        <v>134</v>
      </c>
      <c r="D147" s="81" t="s">
        <v>777</v>
      </c>
      <c r="E147" s="81" t="s">
        <v>778</v>
      </c>
      <c r="F147" s="81"/>
      <c r="G147" s="111"/>
      <c r="H147" s="114" t="s">
        <v>17</v>
      </c>
      <c r="I147" s="85"/>
      <c r="J147" s="108" t="s">
        <v>35</v>
      </c>
    </row>
    <row r="148" spans="1:10" ht="72" customHeight="1">
      <c r="A148" s="108" t="s">
        <v>176</v>
      </c>
      <c r="B148" s="81" t="s">
        <v>764</v>
      </c>
      <c r="C148" s="81" t="s">
        <v>779</v>
      </c>
      <c r="D148" s="81" t="s">
        <v>780</v>
      </c>
      <c r="E148" s="81" t="s">
        <v>781</v>
      </c>
      <c r="F148" s="81"/>
      <c r="G148" s="111"/>
      <c r="H148" s="114" t="s">
        <v>17</v>
      </c>
      <c r="I148" s="85"/>
      <c r="J148" s="108" t="s">
        <v>35</v>
      </c>
    </row>
    <row r="149" spans="1:10" ht="72" customHeight="1">
      <c r="A149" s="108" t="s">
        <v>177</v>
      </c>
      <c r="B149" s="81" t="s">
        <v>764</v>
      </c>
      <c r="C149" s="81" t="s">
        <v>782</v>
      </c>
      <c r="D149" s="81" t="s">
        <v>783</v>
      </c>
      <c r="E149" s="81" t="s">
        <v>784</v>
      </c>
      <c r="F149" s="81" t="s">
        <v>1930</v>
      </c>
      <c r="G149" s="111" t="s">
        <v>370</v>
      </c>
      <c r="H149" s="144" t="s">
        <v>16</v>
      </c>
      <c r="I149" s="85" t="s">
        <v>1904</v>
      </c>
      <c r="J149" s="108" t="s">
        <v>31</v>
      </c>
    </row>
    <row r="150" spans="1:10" ht="72" customHeight="1">
      <c r="A150" s="108" t="s">
        <v>178</v>
      </c>
      <c r="B150" s="81" t="s">
        <v>764</v>
      </c>
      <c r="C150" s="81" t="s">
        <v>785</v>
      </c>
      <c r="D150" s="81" t="s">
        <v>786</v>
      </c>
      <c r="E150" s="81" t="s">
        <v>787</v>
      </c>
      <c r="F150" s="81" t="s">
        <v>1931</v>
      </c>
      <c r="G150" s="111" t="s">
        <v>370</v>
      </c>
      <c r="H150" s="144" t="s">
        <v>16</v>
      </c>
      <c r="I150" s="85" t="s">
        <v>1904</v>
      </c>
      <c r="J150" s="108" t="s">
        <v>35</v>
      </c>
    </row>
    <row r="151" spans="1:10" ht="72" customHeight="1">
      <c r="A151" s="108" t="s">
        <v>179</v>
      </c>
      <c r="B151" s="81" t="s">
        <v>764</v>
      </c>
      <c r="C151" s="81" t="s">
        <v>788</v>
      </c>
      <c r="D151" s="81" t="s">
        <v>789</v>
      </c>
      <c r="E151" s="81" t="s">
        <v>790</v>
      </c>
      <c r="F151" s="81" t="s">
        <v>1932</v>
      </c>
      <c r="G151" s="111" t="s">
        <v>370</v>
      </c>
      <c r="H151" s="144" t="s">
        <v>16</v>
      </c>
      <c r="I151" s="85" t="s">
        <v>1904</v>
      </c>
      <c r="J151" s="108" t="s">
        <v>31</v>
      </c>
    </row>
    <row r="152" spans="1:10" ht="72" customHeight="1">
      <c r="A152" s="108" t="s">
        <v>180</v>
      </c>
      <c r="B152" s="81" t="s">
        <v>764</v>
      </c>
      <c r="C152" s="81" t="s">
        <v>791</v>
      </c>
      <c r="D152" s="81" t="s">
        <v>792</v>
      </c>
      <c r="E152" s="81" t="s">
        <v>793</v>
      </c>
      <c r="F152" s="81"/>
      <c r="G152" s="111"/>
      <c r="H152" s="114" t="s">
        <v>17</v>
      </c>
      <c r="I152" s="85"/>
      <c r="J152" s="108" t="s">
        <v>35</v>
      </c>
    </row>
    <row r="153" spans="1:10" ht="72" customHeight="1">
      <c r="A153" s="108" t="s">
        <v>181</v>
      </c>
      <c r="B153" s="81" t="s">
        <v>764</v>
      </c>
      <c r="C153" s="81" t="s">
        <v>794</v>
      </c>
      <c r="D153" s="81" t="s">
        <v>795</v>
      </c>
      <c r="E153" s="81" t="s">
        <v>796</v>
      </c>
      <c r="F153" s="81" t="s">
        <v>1933</v>
      </c>
      <c r="G153" s="111" t="s">
        <v>370</v>
      </c>
      <c r="H153" s="144" t="s">
        <v>16</v>
      </c>
      <c r="I153" s="85" t="s">
        <v>1904</v>
      </c>
      <c r="J153" s="108" t="s">
        <v>35</v>
      </c>
    </row>
    <row r="154" spans="1:10" ht="72" customHeight="1">
      <c r="A154" s="108" t="s">
        <v>182</v>
      </c>
      <c r="B154" s="81" t="s">
        <v>764</v>
      </c>
      <c r="C154" s="81" t="s">
        <v>797</v>
      </c>
      <c r="D154" s="81" t="s">
        <v>798</v>
      </c>
      <c r="E154" s="81" t="s">
        <v>799</v>
      </c>
      <c r="F154" s="81" t="s">
        <v>1934</v>
      </c>
      <c r="G154" s="111" t="s">
        <v>370</v>
      </c>
      <c r="H154" s="144" t="s">
        <v>16</v>
      </c>
      <c r="I154" s="85" t="s">
        <v>1904</v>
      </c>
      <c r="J154" s="108" t="s">
        <v>31</v>
      </c>
    </row>
    <row r="155" spans="1:10" ht="72" customHeight="1">
      <c r="A155" s="108" t="s">
        <v>183</v>
      </c>
      <c r="B155" s="81" t="s">
        <v>764</v>
      </c>
      <c r="C155" s="81" t="s">
        <v>800</v>
      </c>
      <c r="D155" s="81" t="s">
        <v>801</v>
      </c>
      <c r="E155" s="81" t="s">
        <v>802</v>
      </c>
      <c r="F155" s="81"/>
      <c r="G155" s="111"/>
      <c r="H155" s="114" t="s">
        <v>17</v>
      </c>
      <c r="I155" s="85"/>
      <c r="J155" s="108" t="s">
        <v>31</v>
      </c>
    </row>
    <row r="156" spans="1:10" ht="72" customHeight="1">
      <c r="A156" s="108" t="s">
        <v>184</v>
      </c>
      <c r="B156" s="81" t="s">
        <v>764</v>
      </c>
      <c r="C156" s="81" t="s">
        <v>803</v>
      </c>
      <c r="D156" s="81" t="s">
        <v>804</v>
      </c>
      <c r="E156" s="81" t="s">
        <v>805</v>
      </c>
      <c r="F156" s="81"/>
      <c r="G156" s="111"/>
      <c r="H156" s="114" t="s">
        <v>17</v>
      </c>
      <c r="I156" s="85"/>
      <c r="J156" s="108" t="s">
        <v>31</v>
      </c>
    </row>
    <row r="157" spans="1:10" ht="72" customHeight="1">
      <c r="A157" s="108" t="s">
        <v>185</v>
      </c>
      <c r="B157" s="81" t="s">
        <v>806</v>
      </c>
      <c r="C157" s="81" t="s">
        <v>807</v>
      </c>
      <c r="D157" s="81" t="s">
        <v>808</v>
      </c>
      <c r="E157" s="81" t="s">
        <v>451</v>
      </c>
      <c r="F157" s="81"/>
      <c r="G157" s="111"/>
      <c r="H157" s="114" t="s">
        <v>17</v>
      </c>
      <c r="I157" s="85"/>
      <c r="J157" s="108" t="s">
        <v>33</v>
      </c>
    </row>
    <row r="158" spans="1:10" ht="72" customHeight="1">
      <c r="A158" s="108" t="s">
        <v>186</v>
      </c>
      <c r="B158" s="81" t="s">
        <v>806</v>
      </c>
      <c r="C158" s="81" t="s">
        <v>809</v>
      </c>
      <c r="D158" s="81" t="s">
        <v>810</v>
      </c>
      <c r="E158" s="81" t="s">
        <v>454</v>
      </c>
      <c r="F158" s="81"/>
      <c r="G158" s="111"/>
      <c r="H158" s="114" t="s">
        <v>17</v>
      </c>
      <c r="I158" s="85"/>
      <c r="J158" s="108" t="s">
        <v>41</v>
      </c>
    </row>
    <row r="159" spans="1:10" ht="72" customHeight="1">
      <c r="A159" s="109" t="s">
        <v>187</v>
      </c>
      <c r="B159" s="82" t="s">
        <v>806</v>
      </c>
      <c r="C159" s="82" t="s">
        <v>811</v>
      </c>
      <c r="D159" s="82" t="s">
        <v>812</v>
      </c>
      <c r="E159" s="82" t="s">
        <v>457</v>
      </c>
      <c r="F159" s="82"/>
      <c r="G159" s="111"/>
      <c r="H159" s="114" t="s">
        <v>17</v>
      </c>
      <c r="I159" s="84"/>
      <c r="J159" s="109" t="s">
        <v>35</v>
      </c>
    </row>
    <row r="160" spans="1:10" ht="72" customHeight="1">
      <c r="A160" s="109" t="s">
        <v>188</v>
      </c>
      <c r="B160" s="82" t="s">
        <v>806</v>
      </c>
      <c r="C160" s="82" t="s">
        <v>813</v>
      </c>
      <c r="D160" s="82" t="s">
        <v>814</v>
      </c>
      <c r="E160" s="82" t="s">
        <v>815</v>
      </c>
      <c r="F160" s="82"/>
      <c r="G160" s="111"/>
      <c r="H160" s="114" t="s">
        <v>17</v>
      </c>
      <c r="I160" s="84"/>
      <c r="J160" s="109" t="s">
        <v>33</v>
      </c>
    </row>
    <row r="161" spans="1:10" ht="72" customHeight="1">
      <c r="A161" s="109" t="s">
        <v>189</v>
      </c>
      <c r="B161" s="82" t="s">
        <v>806</v>
      </c>
      <c r="C161" s="82" t="s">
        <v>816</v>
      </c>
      <c r="D161" s="82" t="s">
        <v>817</v>
      </c>
      <c r="E161" s="82" t="s">
        <v>466</v>
      </c>
      <c r="F161" s="82"/>
      <c r="G161" s="111"/>
      <c r="H161" s="114" t="s">
        <v>17</v>
      </c>
      <c r="I161" s="84"/>
      <c r="J161" s="109" t="s">
        <v>35</v>
      </c>
    </row>
    <row r="162" spans="1:10" ht="72" customHeight="1">
      <c r="A162" s="109" t="s">
        <v>190</v>
      </c>
      <c r="B162" s="82" t="s">
        <v>806</v>
      </c>
      <c r="C162" s="82" t="s">
        <v>818</v>
      </c>
      <c r="D162" s="82" t="s">
        <v>819</v>
      </c>
      <c r="E162" s="82" t="s">
        <v>469</v>
      </c>
      <c r="F162" s="82"/>
      <c r="G162" s="111"/>
      <c r="H162" s="114" t="s">
        <v>17</v>
      </c>
      <c r="I162" s="84"/>
      <c r="J162" s="109" t="s">
        <v>33</v>
      </c>
    </row>
    <row r="163" spans="1:10" ht="72" customHeight="1">
      <c r="A163" s="109" t="s">
        <v>191</v>
      </c>
      <c r="B163" s="82" t="s">
        <v>806</v>
      </c>
      <c r="C163" s="82" t="s">
        <v>820</v>
      </c>
      <c r="D163" s="82" t="s">
        <v>821</v>
      </c>
      <c r="E163" s="82" t="s">
        <v>472</v>
      </c>
      <c r="F163" s="82"/>
      <c r="G163" s="109"/>
      <c r="H163" s="118" t="s">
        <v>17</v>
      </c>
      <c r="I163" s="82"/>
      <c r="J163" s="109" t="s">
        <v>35</v>
      </c>
    </row>
    <row r="164" spans="1:10" ht="72" customHeight="1">
      <c r="A164" s="109" t="s">
        <v>192</v>
      </c>
      <c r="B164" s="82" t="s">
        <v>806</v>
      </c>
      <c r="C164" s="82" t="s">
        <v>822</v>
      </c>
      <c r="D164" s="82" t="s">
        <v>823</v>
      </c>
      <c r="E164" s="82" t="s">
        <v>824</v>
      </c>
      <c r="F164" s="82"/>
      <c r="G164" s="109"/>
      <c r="H164" s="119" t="s">
        <v>17</v>
      </c>
      <c r="I164" s="82"/>
      <c r="J164" s="109" t="s">
        <v>33</v>
      </c>
    </row>
    <row r="165" spans="1:10" ht="72" customHeight="1">
      <c r="A165" s="109" t="s">
        <v>193</v>
      </c>
      <c r="B165" s="82" t="s">
        <v>806</v>
      </c>
      <c r="C165" s="82" t="s">
        <v>825</v>
      </c>
      <c r="D165" s="82" t="s">
        <v>826</v>
      </c>
      <c r="E165" s="82" t="s">
        <v>827</v>
      </c>
      <c r="F165" s="82"/>
      <c r="G165" s="109"/>
      <c r="H165" s="119" t="s">
        <v>17</v>
      </c>
      <c r="I165" s="82"/>
      <c r="J165" s="109" t="s">
        <v>35</v>
      </c>
    </row>
    <row r="166" spans="1:10" ht="72" customHeight="1">
      <c r="A166" s="109" t="s">
        <v>194</v>
      </c>
      <c r="B166" s="82" t="s">
        <v>806</v>
      </c>
      <c r="C166" s="82" t="s">
        <v>828</v>
      </c>
      <c r="D166" s="82" t="s">
        <v>829</v>
      </c>
      <c r="E166" s="82" t="s">
        <v>830</v>
      </c>
      <c r="F166" s="82"/>
      <c r="G166" s="109"/>
      <c r="H166" s="119" t="s">
        <v>17</v>
      </c>
      <c r="I166" s="82"/>
      <c r="J166" s="109" t="s">
        <v>31</v>
      </c>
    </row>
    <row r="167" spans="1:10" ht="72" customHeight="1">
      <c r="A167" s="109" t="s">
        <v>195</v>
      </c>
      <c r="B167" s="82" t="s">
        <v>806</v>
      </c>
      <c r="C167" s="82" t="s">
        <v>831</v>
      </c>
      <c r="D167" s="82" t="s">
        <v>832</v>
      </c>
      <c r="E167" s="82" t="s">
        <v>833</v>
      </c>
      <c r="F167" s="82"/>
      <c r="G167" s="109"/>
      <c r="H167" s="119" t="s">
        <v>17</v>
      </c>
      <c r="I167" s="82"/>
      <c r="J167" s="109" t="s">
        <v>31</v>
      </c>
    </row>
    <row r="168" spans="1:10" ht="72" customHeight="1">
      <c r="A168" s="109" t="s">
        <v>196</v>
      </c>
      <c r="B168" s="82" t="s">
        <v>806</v>
      </c>
      <c r="C168" s="82" t="s">
        <v>834</v>
      </c>
      <c r="D168" s="82" t="s">
        <v>835</v>
      </c>
      <c r="E168" s="82" t="s">
        <v>836</v>
      </c>
      <c r="F168" s="82"/>
      <c r="G168" s="109"/>
      <c r="H168" s="119" t="s">
        <v>17</v>
      </c>
      <c r="I168" s="82"/>
      <c r="J168" s="109" t="s">
        <v>31</v>
      </c>
    </row>
    <row r="169" spans="1:10" ht="72" customHeight="1">
      <c r="A169" s="109" t="s">
        <v>197</v>
      </c>
      <c r="B169" s="82" t="s">
        <v>806</v>
      </c>
      <c r="C169" s="82" t="s">
        <v>837</v>
      </c>
      <c r="D169" s="82" t="s">
        <v>838</v>
      </c>
      <c r="E169" s="82" t="s">
        <v>839</v>
      </c>
      <c r="F169" s="82"/>
      <c r="G169" s="109"/>
      <c r="H169" s="119" t="s">
        <v>17</v>
      </c>
      <c r="I169" s="82"/>
      <c r="J169" s="109" t="s">
        <v>31</v>
      </c>
    </row>
    <row r="170" spans="1:10" ht="72" customHeight="1">
      <c r="A170" s="109" t="s">
        <v>198</v>
      </c>
      <c r="B170" s="82" t="s">
        <v>806</v>
      </c>
      <c r="C170" s="82" t="s">
        <v>840</v>
      </c>
      <c r="D170" s="82" t="s">
        <v>841</v>
      </c>
      <c r="E170" s="82" t="s">
        <v>842</v>
      </c>
      <c r="F170" s="82"/>
      <c r="G170" s="109"/>
      <c r="H170" s="119" t="s">
        <v>17</v>
      </c>
      <c r="I170" s="82"/>
      <c r="J170" s="109" t="s">
        <v>31</v>
      </c>
    </row>
    <row r="171" spans="1:10" ht="72" customHeight="1">
      <c r="A171" s="109" t="s">
        <v>199</v>
      </c>
      <c r="B171" s="82" t="s">
        <v>843</v>
      </c>
      <c r="C171" s="82" t="s">
        <v>844</v>
      </c>
      <c r="D171" s="82" t="s">
        <v>845</v>
      </c>
      <c r="E171" s="82" t="s">
        <v>846</v>
      </c>
      <c r="F171" s="82"/>
      <c r="G171" s="109"/>
      <c r="H171" s="118" t="s">
        <v>17</v>
      </c>
      <c r="I171" s="82"/>
      <c r="J171" s="109" t="s">
        <v>31</v>
      </c>
    </row>
    <row r="172" spans="1:10" ht="72" customHeight="1">
      <c r="A172" s="109" t="s">
        <v>200</v>
      </c>
      <c r="B172" s="82" t="s">
        <v>843</v>
      </c>
      <c r="C172" s="82" t="s">
        <v>847</v>
      </c>
      <c r="D172" s="82" t="s">
        <v>848</v>
      </c>
      <c r="E172" s="82" t="s">
        <v>849</v>
      </c>
      <c r="F172" s="82"/>
      <c r="G172" s="113"/>
      <c r="H172" s="114" t="s">
        <v>17</v>
      </c>
      <c r="I172" s="84"/>
      <c r="J172" s="109" t="s">
        <v>31</v>
      </c>
    </row>
    <row r="173" spans="1:10" ht="72" customHeight="1">
      <c r="A173" s="109" t="s">
        <v>202</v>
      </c>
      <c r="B173" s="82" t="s">
        <v>843</v>
      </c>
      <c r="C173" s="82" t="s">
        <v>850</v>
      </c>
      <c r="D173" s="82" t="s">
        <v>851</v>
      </c>
      <c r="E173" s="82" t="s">
        <v>852</v>
      </c>
      <c r="F173" s="82"/>
      <c r="G173" s="113"/>
      <c r="H173" s="114" t="s">
        <v>17</v>
      </c>
      <c r="I173" s="84"/>
      <c r="J173" s="109" t="s">
        <v>31</v>
      </c>
    </row>
    <row r="174" spans="1:10" ht="72" customHeight="1">
      <c r="A174" s="109" t="s">
        <v>203</v>
      </c>
      <c r="B174" s="82" t="s">
        <v>843</v>
      </c>
      <c r="C174" s="82" t="s">
        <v>853</v>
      </c>
      <c r="D174" s="82" t="s">
        <v>854</v>
      </c>
      <c r="E174" s="82" t="s">
        <v>855</v>
      </c>
      <c r="F174" s="82"/>
      <c r="G174" s="113"/>
      <c r="H174" s="114" t="s">
        <v>17</v>
      </c>
      <c r="I174" s="84"/>
      <c r="J174" s="109" t="s">
        <v>35</v>
      </c>
    </row>
    <row r="175" spans="1:10" ht="72" customHeight="1">
      <c r="A175" s="109" t="s">
        <v>204</v>
      </c>
      <c r="B175" s="82" t="s">
        <v>843</v>
      </c>
      <c r="C175" s="82" t="s">
        <v>856</v>
      </c>
      <c r="D175" s="82" t="s">
        <v>857</v>
      </c>
      <c r="E175" s="82" t="s">
        <v>858</v>
      </c>
      <c r="F175" s="82"/>
      <c r="G175" s="113"/>
      <c r="H175" s="114" t="s">
        <v>17</v>
      </c>
      <c r="I175" s="84"/>
      <c r="J175" s="109" t="s">
        <v>31</v>
      </c>
    </row>
    <row r="176" spans="1:10" ht="72" customHeight="1">
      <c r="A176" s="109" t="s">
        <v>205</v>
      </c>
      <c r="B176" s="82" t="s">
        <v>843</v>
      </c>
      <c r="C176" s="82" t="s">
        <v>859</v>
      </c>
      <c r="D176" s="82" t="s">
        <v>860</v>
      </c>
      <c r="E176" s="82" t="s">
        <v>861</v>
      </c>
      <c r="F176" s="82"/>
      <c r="G176" s="113"/>
      <c r="H176" s="114" t="s">
        <v>17</v>
      </c>
      <c r="I176" s="84"/>
      <c r="J176" s="109" t="s">
        <v>31</v>
      </c>
    </row>
    <row r="177" spans="1:10" ht="72" customHeight="1">
      <c r="A177" s="109" t="s">
        <v>206</v>
      </c>
      <c r="B177" s="82" t="s">
        <v>843</v>
      </c>
      <c r="C177" s="82" t="s">
        <v>862</v>
      </c>
      <c r="D177" s="82" t="s">
        <v>863</v>
      </c>
      <c r="E177" s="82" t="s">
        <v>864</v>
      </c>
      <c r="F177" s="82"/>
      <c r="G177" s="113"/>
      <c r="H177" s="114" t="s">
        <v>17</v>
      </c>
      <c r="I177" s="84"/>
      <c r="J177" s="109" t="s">
        <v>35</v>
      </c>
    </row>
    <row r="178" spans="1:10" ht="72" customHeight="1">
      <c r="A178" s="109" t="s">
        <v>207</v>
      </c>
      <c r="B178" s="82" t="s">
        <v>843</v>
      </c>
      <c r="C178" s="82" t="s">
        <v>865</v>
      </c>
      <c r="D178" s="82" t="s">
        <v>866</v>
      </c>
      <c r="E178" s="82" t="s">
        <v>867</v>
      </c>
      <c r="F178" s="82"/>
      <c r="G178" s="113"/>
      <c r="H178" s="114" t="s">
        <v>17</v>
      </c>
      <c r="I178" s="84"/>
      <c r="J178" s="109" t="s">
        <v>33</v>
      </c>
    </row>
    <row r="179" spans="1:10" ht="72" customHeight="1">
      <c r="A179" s="109" t="s">
        <v>208</v>
      </c>
      <c r="B179" s="82" t="s">
        <v>843</v>
      </c>
      <c r="C179" s="82" t="s">
        <v>868</v>
      </c>
      <c r="D179" s="82" t="s">
        <v>869</v>
      </c>
      <c r="E179" s="82" t="s">
        <v>870</v>
      </c>
      <c r="F179" s="82" t="s">
        <v>1935</v>
      </c>
      <c r="G179" s="113" t="s">
        <v>370</v>
      </c>
      <c r="H179" s="144" t="s">
        <v>16</v>
      </c>
      <c r="I179" s="84" t="s">
        <v>1904</v>
      </c>
      <c r="J179" s="109" t="s">
        <v>31</v>
      </c>
    </row>
    <row r="180" spans="1:10" ht="72" customHeight="1">
      <c r="A180" s="109" t="s">
        <v>210</v>
      </c>
      <c r="B180" s="82" t="s">
        <v>843</v>
      </c>
      <c r="C180" s="82" t="s">
        <v>871</v>
      </c>
      <c r="D180" s="82" t="s">
        <v>872</v>
      </c>
      <c r="E180" s="82" t="s">
        <v>873</v>
      </c>
      <c r="F180" s="82" t="s">
        <v>1936</v>
      </c>
      <c r="G180" s="113" t="s">
        <v>370</v>
      </c>
      <c r="H180" s="144" t="s">
        <v>16</v>
      </c>
      <c r="I180" s="84" t="s">
        <v>1904</v>
      </c>
      <c r="J180" s="109" t="s">
        <v>35</v>
      </c>
    </row>
    <row r="181" spans="1:10" ht="72" customHeight="1">
      <c r="A181" s="109" t="s">
        <v>211</v>
      </c>
      <c r="B181" s="82" t="s">
        <v>843</v>
      </c>
      <c r="C181" s="82" t="s">
        <v>874</v>
      </c>
      <c r="D181" s="82" t="s">
        <v>875</v>
      </c>
      <c r="E181" s="82" t="s">
        <v>876</v>
      </c>
      <c r="F181" s="82" t="s">
        <v>1937</v>
      </c>
      <c r="G181" s="113" t="s">
        <v>370</v>
      </c>
      <c r="H181" s="144" t="s">
        <v>16</v>
      </c>
      <c r="I181" s="84" t="s">
        <v>1904</v>
      </c>
      <c r="J181" s="109" t="s">
        <v>31</v>
      </c>
    </row>
    <row r="182" spans="1:10" ht="72" customHeight="1">
      <c r="A182" s="109" t="s">
        <v>212</v>
      </c>
      <c r="B182" s="82" t="s">
        <v>843</v>
      </c>
      <c r="C182" s="82" t="s">
        <v>877</v>
      </c>
      <c r="D182" s="82" t="s">
        <v>878</v>
      </c>
      <c r="E182" s="82" t="s">
        <v>879</v>
      </c>
      <c r="F182" s="82"/>
      <c r="G182" s="113"/>
      <c r="H182" s="114" t="s">
        <v>17</v>
      </c>
      <c r="I182" s="84"/>
      <c r="J182" s="109" t="s">
        <v>35</v>
      </c>
    </row>
    <row r="183" spans="1:10" ht="72" customHeight="1">
      <c r="A183" s="109" t="s">
        <v>213</v>
      </c>
      <c r="B183" s="82" t="s">
        <v>843</v>
      </c>
      <c r="C183" s="82" t="s">
        <v>880</v>
      </c>
      <c r="D183" s="82" t="s">
        <v>881</v>
      </c>
      <c r="E183" s="82" t="s">
        <v>882</v>
      </c>
      <c r="F183" s="82"/>
      <c r="G183" s="113"/>
      <c r="H183" s="114" t="s">
        <v>17</v>
      </c>
      <c r="I183" s="84"/>
      <c r="J183" s="109" t="s">
        <v>31</v>
      </c>
    </row>
    <row r="184" spans="1:10" ht="72" customHeight="1">
      <c r="A184" s="109" t="s">
        <v>214</v>
      </c>
      <c r="B184" s="82" t="s">
        <v>843</v>
      </c>
      <c r="C184" s="82" t="s">
        <v>883</v>
      </c>
      <c r="D184" s="82" t="s">
        <v>884</v>
      </c>
      <c r="E184" s="82" t="s">
        <v>885</v>
      </c>
      <c r="F184" s="82"/>
      <c r="G184" s="113"/>
      <c r="H184" s="114" t="s">
        <v>17</v>
      </c>
      <c r="I184" s="84"/>
      <c r="J184" s="109" t="s">
        <v>31</v>
      </c>
    </row>
    <row r="185" spans="1:10" ht="72" customHeight="1">
      <c r="A185" s="109" t="s">
        <v>215</v>
      </c>
      <c r="B185" s="82" t="s">
        <v>886</v>
      </c>
      <c r="C185" s="82" t="s">
        <v>887</v>
      </c>
      <c r="D185" s="82" t="s">
        <v>888</v>
      </c>
      <c r="E185" s="82" t="s">
        <v>451</v>
      </c>
      <c r="F185" s="82"/>
      <c r="G185" s="113"/>
      <c r="H185" s="114" t="s">
        <v>17</v>
      </c>
      <c r="I185" s="84"/>
      <c r="J185" s="109" t="s">
        <v>33</v>
      </c>
    </row>
    <row r="186" spans="1:10" ht="72" customHeight="1">
      <c r="A186" s="109" t="s">
        <v>216</v>
      </c>
      <c r="B186" s="82" t="s">
        <v>886</v>
      </c>
      <c r="C186" s="82" t="s">
        <v>889</v>
      </c>
      <c r="D186" s="82" t="s">
        <v>890</v>
      </c>
      <c r="E186" s="82" t="s">
        <v>454</v>
      </c>
      <c r="F186" s="82"/>
      <c r="G186" s="113"/>
      <c r="H186" s="114" t="s">
        <v>17</v>
      </c>
      <c r="I186" s="84"/>
      <c r="J186" s="109" t="s">
        <v>41</v>
      </c>
    </row>
    <row r="187" spans="1:10" ht="72" customHeight="1">
      <c r="A187" s="109" t="s">
        <v>217</v>
      </c>
      <c r="B187" s="82" t="s">
        <v>886</v>
      </c>
      <c r="C187" s="82" t="s">
        <v>891</v>
      </c>
      <c r="D187" s="82" t="s">
        <v>892</v>
      </c>
      <c r="E187" s="82" t="s">
        <v>457</v>
      </c>
      <c r="F187" s="82"/>
      <c r="G187" s="113"/>
      <c r="H187" s="114" t="s">
        <v>17</v>
      </c>
      <c r="I187" s="84"/>
      <c r="J187" s="109" t="s">
        <v>35</v>
      </c>
    </row>
    <row r="188" spans="1:10" ht="72" customHeight="1">
      <c r="A188" s="109" t="s">
        <v>218</v>
      </c>
      <c r="B188" s="82" t="s">
        <v>886</v>
      </c>
      <c r="C188" s="82" t="s">
        <v>893</v>
      </c>
      <c r="D188" s="82" t="s">
        <v>894</v>
      </c>
      <c r="E188" s="82" t="s">
        <v>895</v>
      </c>
      <c r="F188" s="82"/>
      <c r="G188" s="113"/>
      <c r="H188" s="114" t="s">
        <v>17</v>
      </c>
      <c r="I188" s="84"/>
      <c r="J188" s="109" t="s">
        <v>33</v>
      </c>
    </row>
    <row r="189" spans="1:10" ht="72" customHeight="1">
      <c r="A189" s="109" t="s">
        <v>219</v>
      </c>
      <c r="B189" s="82" t="s">
        <v>886</v>
      </c>
      <c r="C189" s="82" t="s">
        <v>896</v>
      </c>
      <c r="D189" s="82" t="s">
        <v>897</v>
      </c>
      <c r="E189" s="82" t="s">
        <v>898</v>
      </c>
      <c r="F189" s="82"/>
      <c r="G189" s="109"/>
      <c r="H189" s="118" t="s">
        <v>17</v>
      </c>
      <c r="I189" s="82"/>
      <c r="J189" s="109" t="s">
        <v>33</v>
      </c>
    </row>
    <row r="190" spans="1:10" ht="72" customHeight="1">
      <c r="A190" s="109" t="s">
        <v>220</v>
      </c>
      <c r="B190" s="82" t="s">
        <v>886</v>
      </c>
      <c r="C190" s="82" t="s">
        <v>899</v>
      </c>
      <c r="D190" s="82" t="s">
        <v>900</v>
      </c>
      <c r="E190" s="82" t="s">
        <v>466</v>
      </c>
      <c r="F190" s="82"/>
      <c r="G190" s="109"/>
      <c r="H190" s="119" t="s">
        <v>17</v>
      </c>
      <c r="I190" s="82"/>
      <c r="J190" s="109" t="s">
        <v>35</v>
      </c>
    </row>
    <row r="191" spans="1:10" ht="72" customHeight="1">
      <c r="A191" s="109" t="s">
        <v>221</v>
      </c>
      <c r="B191" s="82" t="s">
        <v>886</v>
      </c>
      <c r="C191" s="82" t="s">
        <v>901</v>
      </c>
      <c r="D191" s="82" t="s">
        <v>902</v>
      </c>
      <c r="E191" s="82" t="s">
        <v>469</v>
      </c>
      <c r="F191" s="82"/>
      <c r="G191" s="109"/>
      <c r="H191" s="119" t="s">
        <v>17</v>
      </c>
      <c r="I191" s="82"/>
      <c r="J191" s="109" t="s">
        <v>33</v>
      </c>
    </row>
    <row r="192" spans="1:10" ht="72" customHeight="1">
      <c r="A192" s="109" t="s">
        <v>222</v>
      </c>
      <c r="B192" s="82" t="s">
        <v>886</v>
      </c>
      <c r="C192" s="82" t="s">
        <v>903</v>
      </c>
      <c r="D192" s="82" t="s">
        <v>904</v>
      </c>
      <c r="E192" s="82" t="s">
        <v>472</v>
      </c>
      <c r="F192" s="82"/>
      <c r="G192" s="109"/>
      <c r="H192" s="119" t="s">
        <v>17</v>
      </c>
      <c r="I192" s="82"/>
      <c r="J192" s="109" t="s">
        <v>35</v>
      </c>
    </row>
    <row r="193" spans="1:10" ht="72" customHeight="1">
      <c r="A193" s="109" t="s">
        <v>223</v>
      </c>
      <c r="B193" s="82" t="s">
        <v>886</v>
      </c>
      <c r="C193" s="82" t="s">
        <v>905</v>
      </c>
      <c r="D193" s="82" t="s">
        <v>906</v>
      </c>
      <c r="E193" s="82" t="s">
        <v>907</v>
      </c>
      <c r="F193" s="82"/>
      <c r="G193" s="109"/>
      <c r="H193" s="119" t="s">
        <v>17</v>
      </c>
      <c r="I193" s="82"/>
      <c r="J193" s="109" t="s">
        <v>31</v>
      </c>
    </row>
    <row r="194" spans="1:10" ht="72" customHeight="1">
      <c r="A194" s="109" t="s">
        <v>224</v>
      </c>
      <c r="B194" s="82" t="s">
        <v>886</v>
      </c>
      <c r="C194" s="82" t="s">
        <v>908</v>
      </c>
      <c r="D194" s="82" t="s">
        <v>909</v>
      </c>
      <c r="E194" s="82" t="s">
        <v>910</v>
      </c>
      <c r="F194" s="82"/>
      <c r="G194" s="109"/>
      <c r="H194" s="119" t="s">
        <v>17</v>
      </c>
      <c r="I194" s="82"/>
      <c r="J194" s="109" t="s">
        <v>31</v>
      </c>
    </row>
    <row r="195" spans="1:10" ht="72" customHeight="1">
      <c r="A195" s="109" t="s">
        <v>225</v>
      </c>
      <c r="B195" s="82" t="s">
        <v>886</v>
      </c>
      <c r="C195" s="82" t="s">
        <v>911</v>
      </c>
      <c r="D195" s="82" t="s">
        <v>912</v>
      </c>
      <c r="E195" s="82" t="s">
        <v>913</v>
      </c>
      <c r="F195" s="82"/>
      <c r="G195" s="109"/>
      <c r="H195" s="119" t="s">
        <v>17</v>
      </c>
      <c r="I195" s="82"/>
      <c r="J195" s="109" t="s">
        <v>31</v>
      </c>
    </row>
    <row r="196" spans="1:10" ht="72" customHeight="1">
      <c r="A196" s="109" t="s">
        <v>226</v>
      </c>
      <c r="B196" s="82" t="s">
        <v>886</v>
      </c>
      <c r="C196" s="82" t="s">
        <v>914</v>
      </c>
      <c r="D196" s="82" t="s">
        <v>915</v>
      </c>
      <c r="E196" s="82" t="s">
        <v>916</v>
      </c>
      <c r="F196" s="82"/>
      <c r="G196" s="109"/>
      <c r="H196" s="119" t="s">
        <v>17</v>
      </c>
      <c r="I196" s="82"/>
      <c r="J196" s="109" t="s">
        <v>31</v>
      </c>
    </row>
    <row r="197" spans="1:10" ht="72" customHeight="1">
      <c r="A197" s="109" t="s">
        <v>227</v>
      </c>
      <c r="B197" s="82" t="s">
        <v>886</v>
      </c>
      <c r="C197" s="82" t="s">
        <v>917</v>
      </c>
      <c r="D197" s="82" t="s">
        <v>918</v>
      </c>
      <c r="E197" s="82" t="s">
        <v>919</v>
      </c>
      <c r="F197" s="82"/>
      <c r="G197" s="109"/>
      <c r="H197" s="119" t="s">
        <v>17</v>
      </c>
      <c r="I197" s="82"/>
      <c r="J197" s="109" t="s">
        <v>31</v>
      </c>
    </row>
    <row r="198" spans="1:10" ht="72" customHeight="1">
      <c r="A198" s="109" t="s">
        <v>228</v>
      </c>
      <c r="B198" s="82" t="s">
        <v>886</v>
      </c>
      <c r="C198" s="82" t="s">
        <v>920</v>
      </c>
      <c r="D198" s="82" t="s">
        <v>921</v>
      </c>
      <c r="E198" s="82" t="s">
        <v>922</v>
      </c>
      <c r="F198" s="82" t="s">
        <v>1938</v>
      </c>
      <c r="G198" s="109" t="s">
        <v>370</v>
      </c>
      <c r="H198" s="147" t="s">
        <v>16</v>
      </c>
      <c r="I198" s="82" t="s">
        <v>1904</v>
      </c>
      <c r="J198" s="109" t="s">
        <v>31</v>
      </c>
    </row>
    <row r="199" spans="1:10" ht="72" customHeight="1">
      <c r="A199" s="109" t="s">
        <v>229</v>
      </c>
      <c r="B199" s="82" t="s">
        <v>886</v>
      </c>
      <c r="C199" s="82" t="s">
        <v>923</v>
      </c>
      <c r="D199" s="82" t="s">
        <v>924</v>
      </c>
      <c r="E199" s="82" t="s">
        <v>925</v>
      </c>
      <c r="F199" s="82"/>
      <c r="G199" s="109"/>
      <c r="H199" s="119" t="s">
        <v>17</v>
      </c>
      <c r="I199" s="82"/>
      <c r="J199" s="109" t="s">
        <v>35</v>
      </c>
    </row>
    <row r="200" spans="1:10" ht="72" customHeight="1">
      <c r="A200" s="109" t="s">
        <v>230</v>
      </c>
      <c r="B200" s="82" t="s">
        <v>886</v>
      </c>
      <c r="C200" s="82" t="s">
        <v>926</v>
      </c>
      <c r="D200" s="82" t="s">
        <v>927</v>
      </c>
      <c r="E200" s="82" t="s">
        <v>928</v>
      </c>
      <c r="F200" s="82"/>
      <c r="G200" s="109"/>
      <c r="H200" s="119" t="s">
        <v>17</v>
      </c>
      <c r="I200" s="82"/>
      <c r="J200" s="109" t="s">
        <v>31</v>
      </c>
    </row>
    <row r="201" spans="1:10" ht="72" customHeight="1">
      <c r="A201" s="109" t="s">
        <v>231</v>
      </c>
      <c r="B201" s="82" t="s">
        <v>886</v>
      </c>
      <c r="C201" s="82" t="s">
        <v>929</v>
      </c>
      <c r="D201" s="82" t="s">
        <v>930</v>
      </c>
      <c r="E201" s="82" t="s">
        <v>931</v>
      </c>
      <c r="F201" s="82"/>
      <c r="G201" s="109"/>
      <c r="H201" s="119" t="s">
        <v>17</v>
      </c>
      <c r="I201" s="82"/>
      <c r="J201" s="109" t="s">
        <v>31</v>
      </c>
    </row>
    <row r="202" spans="1:10" ht="72" customHeight="1">
      <c r="A202" s="109" t="s">
        <v>232</v>
      </c>
      <c r="B202" s="82" t="s">
        <v>886</v>
      </c>
      <c r="C202" s="82" t="s">
        <v>932</v>
      </c>
      <c r="D202" s="82" t="s">
        <v>933</v>
      </c>
      <c r="E202" s="82" t="s">
        <v>934</v>
      </c>
      <c r="F202" s="82"/>
      <c r="G202" s="109"/>
      <c r="H202" s="119" t="s">
        <v>17</v>
      </c>
      <c r="I202" s="82"/>
      <c r="J202" s="109" t="s">
        <v>35</v>
      </c>
    </row>
    <row r="203" spans="1:10" ht="72" customHeight="1">
      <c r="A203" s="109" t="s">
        <v>233</v>
      </c>
      <c r="B203" s="82" t="s">
        <v>886</v>
      </c>
      <c r="C203" s="82" t="s">
        <v>935</v>
      </c>
      <c r="D203" s="82" t="s">
        <v>936</v>
      </c>
      <c r="E203" s="82" t="s">
        <v>937</v>
      </c>
      <c r="F203" s="82"/>
      <c r="G203" s="109"/>
      <c r="H203" s="119" t="s">
        <v>17</v>
      </c>
      <c r="I203" s="82"/>
      <c r="J203" s="109" t="s">
        <v>33</v>
      </c>
    </row>
    <row r="204" spans="1:10" ht="72" customHeight="1">
      <c r="A204" s="109" t="s">
        <v>234</v>
      </c>
      <c r="B204" s="82" t="s">
        <v>938</v>
      </c>
      <c r="C204" s="82" t="s">
        <v>939</v>
      </c>
      <c r="D204" s="82" t="s">
        <v>940</v>
      </c>
      <c r="E204" s="82" t="s">
        <v>941</v>
      </c>
      <c r="F204" s="82"/>
      <c r="G204" s="109"/>
      <c r="H204" s="119" t="s">
        <v>17</v>
      </c>
      <c r="I204" s="82"/>
      <c r="J204" s="109" t="s">
        <v>35</v>
      </c>
    </row>
    <row r="205" spans="1:10" ht="72" customHeight="1">
      <c r="A205" s="109" t="s">
        <v>235</v>
      </c>
      <c r="B205" s="82" t="s">
        <v>938</v>
      </c>
      <c r="C205" s="82" t="s">
        <v>942</v>
      </c>
      <c r="D205" s="82" t="s">
        <v>943</v>
      </c>
      <c r="E205" s="82" t="s">
        <v>944</v>
      </c>
      <c r="F205" s="82"/>
      <c r="G205" s="109"/>
      <c r="H205" s="119" t="s">
        <v>17</v>
      </c>
      <c r="I205" s="82"/>
      <c r="J205" s="109" t="s">
        <v>35</v>
      </c>
    </row>
    <row r="206" spans="1:10" ht="72" customHeight="1">
      <c r="A206" s="109" t="s">
        <v>236</v>
      </c>
      <c r="B206" s="82" t="s">
        <v>938</v>
      </c>
      <c r="C206" s="82" t="s">
        <v>945</v>
      </c>
      <c r="D206" s="82" t="s">
        <v>753</v>
      </c>
      <c r="E206" s="82" t="s">
        <v>946</v>
      </c>
      <c r="F206" s="82"/>
      <c r="G206" s="109"/>
      <c r="H206" s="118" t="s">
        <v>17</v>
      </c>
      <c r="I206" s="82"/>
      <c r="J206" s="109" t="s">
        <v>31</v>
      </c>
    </row>
    <row r="207" spans="1:10" ht="72" customHeight="1">
      <c r="A207" s="109" t="s">
        <v>237</v>
      </c>
      <c r="B207" s="82" t="s">
        <v>938</v>
      </c>
      <c r="C207" s="82" t="s">
        <v>947</v>
      </c>
      <c r="D207" s="82" t="s">
        <v>948</v>
      </c>
      <c r="E207" s="82" t="s">
        <v>949</v>
      </c>
      <c r="F207" s="82"/>
      <c r="G207" s="113"/>
      <c r="H207" s="114" t="s">
        <v>17</v>
      </c>
      <c r="I207" s="84"/>
      <c r="J207" s="109" t="s">
        <v>35</v>
      </c>
    </row>
    <row r="208" spans="1:10" ht="72" customHeight="1">
      <c r="A208" s="109" t="s">
        <v>238</v>
      </c>
      <c r="B208" s="82" t="s">
        <v>938</v>
      </c>
      <c r="C208" s="82" t="s">
        <v>950</v>
      </c>
      <c r="D208" s="82" t="s">
        <v>759</v>
      </c>
      <c r="E208" s="82" t="s">
        <v>951</v>
      </c>
      <c r="F208" s="82"/>
      <c r="G208" s="113"/>
      <c r="H208" s="114" t="s">
        <v>17</v>
      </c>
      <c r="I208" s="84"/>
      <c r="J208" s="109" t="s">
        <v>35</v>
      </c>
    </row>
    <row r="209" spans="1:10" ht="72" customHeight="1">
      <c r="A209" s="109" t="s">
        <v>239</v>
      </c>
      <c r="B209" s="82" t="s">
        <v>938</v>
      </c>
      <c r="C209" s="82" t="s">
        <v>952</v>
      </c>
      <c r="D209" s="82" t="s">
        <v>953</v>
      </c>
      <c r="E209" s="82" t="s">
        <v>954</v>
      </c>
      <c r="F209" s="82"/>
      <c r="G209" s="113"/>
      <c r="H209" s="114" t="s">
        <v>17</v>
      </c>
      <c r="I209" s="84"/>
      <c r="J209" s="109" t="s">
        <v>31</v>
      </c>
    </row>
    <row r="210" spans="1:10" ht="72" customHeight="1">
      <c r="A210" s="109" t="s">
        <v>240</v>
      </c>
      <c r="B210" s="82" t="s">
        <v>955</v>
      </c>
      <c r="C210" s="82" t="s">
        <v>956</v>
      </c>
      <c r="D210" s="82" t="s">
        <v>957</v>
      </c>
      <c r="E210" s="82" t="s">
        <v>958</v>
      </c>
      <c r="F210" s="82"/>
      <c r="G210" s="113"/>
      <c r="H210" s="114" t="s">
        <v>17</v>
      </c>
      <c r="I210" s="84"/>
      <c r="J210" s="109" t="s">
        <v>31</v>
      </c>
    </row>
    <row r="211" spans="1:10" ht="72" customHeight="1">
      <c r="A211" s="109" t="s">
        <v>241</v>
      </c>
      <c r="B211" s="82" t="s">
        <v>955</v>
      </c>
      <c r="C211" s="82" t="s">
        <v>959</v>
      </c>
      <c r="D211" s="82" t="s">
        <v>960</v>
      </c>
      <c r="E211" s="82" t="s">
        <v>961</v>
      </c>
      <c r="F211" s="82"/>
      <c r="G211" s="113"/>
      <c r="H211" s="114" t="s">
        <v>17</v>
      </c>
      <c r="I211" s="84"/>
      <c r="J211" s="109" t="s">
        <v>35</v>
      </c>
    </row>
    <row r="212" spans="1:10" ht="72" customHeight="1">
      <c r="A212" s="109" t="s">
        <v>242</v>
      </c>
      <c r="B212" s="82" t="s">
        <v>955</v>
      </c>
      <c r="C212" s="82" t="s">
        <v>962</v>
      </c>
      <c r="D212" s="82" t="s">
        <v>963</v>
      </c>
      <c r="E212" s="82" t="s">
        <v>964</v>
      </c>
      <c r="F212" s="82"/>
      <c r="G212" s="113"/>
      <c r="H212" s="114" t="s">
        <v>17</v>
      </c>
      <c r="I212" s="84"/>
      <c r="J212" s="109" t="s">
        <v>31</v>
      </c>
    </row>
    <row r="213" spans="1:10" ht="72" customHeight="1">
      <c r="A213" s="109" t="s">
        <v>243</v>
      </c>
      <c r="B213" s="82" t="s">
        <v>955</v>
      </c>
      <c r="C213" s="82" t="s">
        <v>965</v>
      </c>
      <c r="D213" s="82" t="s">
        <v>966</v>
      </c>
      <c r="E213" s="82" t="s">
        <v>967</v>
      </c>
      <c r="F213" s="82"/>
      <c r="G213" s="113"/>
      <c r="H213" s="114" t="s">
        <v>17</v>
      </c>
      <c r="I213" s="84"/>
      <c r="J213" s="109" t="s">
        <v>31</v>
      </c>
    </row>
    <row r="214" spans="1:10" ht="72" customHeight="1">
      <c r="A214" s="109" t="s">
        <v>244</v>
      </c>
      <c r="B214" s="82" t="s">
        <v>955</v>
      </c>
      <c r="C214" s="82" t="s">
        <v>968</v>
      </c>
      <c r="D214" s="82" t="s">
        <v>969</v>
      </c>
      <c r="E214" s="82" t="s">
        <v>970</v>
      </c>
      <c r="F214" s="82"/>
      <c r="G214" s="113"/>
      <c r="H214" s="114" t="s">
        <v>17</v>
      </c>
      <c r="I214" s="84"/>
      <c r="J214" s="109" t="s">
        <v>31</v>
      </c>
    </row>
    <row r="215" spans="1:10" ht="72" customHeight="1">
      <c r="A215" s="109" t="s">
        <v>245</v>
      </c>
      <c r="B215" s="82" t="s">
        <v>955</v>
      </c>
      <c r="C215" s="82" t="s">
        <v>971</v>
      </c>
      <c r="D215" s="82" t="s">
        <v>972</v>
      </c>
      <c r="E215" s="82" t="s">
        <v>973</v>
      </c>
      <c r="F215" s="82"/>
      <c r="G215" s="113"/>
      <c r="H215" s="114" t="s">
        <v>17</v>
      </c>
      <c r="I215" s="84"/>
      <c r="J215" s="109" t="s">
        <v>33</v>
      </c>
    </row>
    <row r="216" spans="1:10" ht="72" customHeight="1">
      <c r="A216" s="109" t="s">
        <v>246</v>
      </c>
      <c r="B216" s="82" t="s">
        <v>974</v>
      </c>
      <c r="C216" s="82" t="s">
        <v>975</v>
      </c>
      <c r="D216" s="82" t="s">
        <v>976</v>
      </c>
      <c r="E216" s="82" t="s">
        <v>977</v>
      </c>
      <c r="F216" s="82"/>
      <c r="G216" s="113"/>
      <c r="H216" s="114" t="s">
        <v>17</v>
      </c>
      <c r="I216" s="84"/>
      <c r="J216" s="109" t="s">
        <v>35</v>
      </c>
    </row>
    <row r="217" spans="1:10" ht="72" customHeight="1">
      <c r="A217" s="109" t="s">
        <v>247</v>
      </c>
      <c r="B217" s="82" t="s">
        <v>974</v>
      </c>
      <c r="C217" s="82" t="s">
        <v>978</v>
      </c>
      <c r="D217" s="82" t="s">
        <v>979</v>
      </c>
      <c r="E217" s="82" t="s">
        <v>980</v>
      </c>
      <c r="F217" s="82"/>
      <c r="G217" s="113"/>
      <c r="H217" s="114" t="s">
        <v>17</v>
      </c>
      <c r="I217" s="84"/>
      <c r="J217" s="109" t="s">
        <v>31</v>
      </c>
    </row>
    <row r="218" spans="1:10" ht="72" customHeight="1">
      <c r="A218" s="109" t="s">
        <v>248</v>
      </c>
      <c r="B218" s="82" t="s">
        <v>974</v>
      </c>
      <c r="C218" s="82" t="s">
        <v>134</v>
      </c>
      <c r="D218" s="82" t="s">
        <v>981</v>
      </c>
      <c r="E218" s="82" t="s">
        <v>982</v>
      </c>
      <c r="F218" s="82"/>
      <c r="G218" s="113"/>
      <c r="H218" s="114" t="s">
        <v>17</v>
      </c>
      <c r="I218" s="84"/>
      <c r="J218" s="109" t="s">
        <v>35</v>
      </c>
    </row>
    <row r="219" spans="1:10" ht="72" customHeight="1">
      <c r="A219" s="109" t="s">
        <v>249</v>
      </c>
      <c r="B219" s="82" t="s">
        <v>974</v>
      </c>
      <c r="C219" s="82" t="s">
        <v>983</v>
      </c>
      <c r="D219" s="82" t="s">
        <v>984</v>
      </c>
      <c r="E219" s="82" t="s">
        <v>985</v>
      </c>
      <c r="F219" s="82"/>
      <c r="G219" s="113"/>
      <c r="H219" s="114" t="s">
        <v>17</v>
      </c>
      <c r="I219" s="84"/>
      <c r="J219" s="109" t="s">
        <v>31</v>
      </c>
    </row>
    <row r="220" spans="1:10" ht="72" customHeight="1">
      <c r="A220" s="109" t="s">
        <v>250</v>
      </c>
      <c r="B220" s="82" t="s">
        <v>974</v>
      </c>
      <c r="C220" s="82" t="s">
        <v>986</v>
      </c>
      <c r="D220" s="82" t="s">
        <v>987</v>
      </c>
      <c r="E220" s="82" t="s">
        <v>988</v>
      </c>
      <c r="F220" s="82"/>
      <c r="G220" s="113"/>
      <c r="H220" s="114" t="s">
        <v>17</v>
      </c>
      <c r="I220" s="84"/>
      <c r="J220" s="109" t="s">
        <v>31</v>
      </c>
    </row>
    <row r="221" spans="1:10" ht="72" customHeight="1">
      <c r="A221" s="109" t="s">
        <v>251</v>
      </c>
      <c r="B221" s="82" t="s">
        <v>974</v>
      </c>
      <c r="C221" s="82" t="s">
        <v>989</v>
      </c>
      <c r="D221" s="82" t="s">
        <v>990</v>
      </c>
      <c r="E221" s="82" t="s">
        <v>991</v>
      </c>
      <c r="F221" s="82"/>
      <c r="G221" s="113"/>
      <c r="H221" s="114" t="s">
        <v>17</v>
      </c>
      <c r="I221" s="84"/>
      <c r="J221" s="109" t="s">
        <v>35</v>
      </c>
    </row>
    <row r="222" spans="1:10" ht="72" customHeight="1">
      <c r="A222" s="109" t="s">
        <v>252</v>
      </c>
      <c r="B222" s="82" t="s">
        <v>974</v>
      </c>
      <c r="C222" s="82" t="s">
        <v>992</v>
      </c>
      <c r="D222" s="82" t="s">
        <v>993</v>
      </c>
      <c r="E222" s="82" t="s">
        <v>994</v>
      </c>
      <c r="F222" s="82"/>
      <c r="G222" s="113"/>
      <c r="H222" s="114" t="s">
        <v>17</v>
      </c>
      <c r="I222" s="84"/>
      <c r="J222" s="109" t="s">
        <v>31</v>
      </c>
    </row>
    <row r="223" spans="1:10" ht="72" customHeight="1">
      <c r="A223" s="109" t="s">
        <v>253</v>
      </c>
      <c r="B223" s="82" t="s">
        <v>974</v>
      </c>
      <c r="C223" s="82" t="s">
        <v>995</v>
      </c>
      <c r="D223" s="82" t="s">
        <v>996</v>
      </c>
      <c r="E223" s="82" t="s">
        <v>997</v>
      </c>
      <c r="F223" s="82"/>
      <c r="G223" s="113"/>
      <c r="H223" s="114" t="s">
        <v>17</v>
      </c>
      <c r="I223" s="84"/>
      <c r="J223" s="109" t="s">
        <v>35</v>
      </c>
    </row>
    <row r="224" spans="1:10" ht="72" customHeight="1">
      <c r="A224" s="109" t="s">
        <v>254</v>
      </c>
      <c r="B224" s="82" t="s">
        <v>974</v>
      </c>
      <c r="C224" s="82" t="s">
        <v>998</v>
      </c>
      <c r="D224" s="82" t="s">
        <v>999</v>
      </c>
      <c r="E224" s="82" t="s">
        <v>1000</v>
      </c>
      <c r="F224" s="82"/>
      <c r="G224" s="113"/>
      <c r="H224" s="114" t="s">
        <v>17</v>
      </c>
      <c r="I224" s="84"/>
      <c r="J224" s="109" t="s">
        <v>31</v>
      </c>
    </row>
    <row r="225" spans="1:10" ht="72" customHeight="1">
      <c r="A225" s="109" t="s">
        <v>255</v>
      </c>
      <c r="B225" s="82" t="s">
        <v>974</v>
      </c>
      <c r="C225" s="82" t="s">
        <v>1001</v>
      </c>
      <c r="D225" s="82" t="s">
        <v>1002</v>
      </c>
      <c r="E225" s="82" t="s">
        <v>1003</v>
      </c>
      <c r="F225" s="82"/>
      <c r="G225" s="113"/>
      <c r="H225" s="114" t="s">
        <v>17</v>
      </c>
      <c r="I225" s="84"/>
      <c r="J225" s="109" t="s">
        <v>31</v>
      </c>
    </row>
    <row r="226" spans="1:10" ht="72" customHeight="1">
      <c r="A226" s="109" t="s">
        <v>256</v>
      </c>
      <c r="B226" s="82" t="s">
        <v>974</v>
      </c>
      <c r="C226" s="82" t="s">
        <v>1004</v>
      </c>
      <c r="D226" s="82" t="s">
        <v>715</v>
      </c>
      <c r="E226" s="82" t="s">
        <v>1005</v>
      </c>
      <c r="F226" s="82"/>
      <c r="G226" s="113"/>
      <c r="H226" s="114" t="s">
        <v>17</v>
      </c>
      <c r="I226" s="84"/>
      <c r="J226" s="109" t="s">
        <v>35</v>
      </c>
    </row>
    <row r="227" spans="1:10" ht="72" customHeight="1">
      <c r="A227" s="109" t="s">
        <v>257</v>
      </c>
      <c r="B227" s="82" t="s">
        <v>974</v>
      </c>
      <c r="C227" s="82" t="s">
        <v>1006</v>
      </c>
      <c r="D227" s="82" t="s">
        <v>1007</v>
      </c>
      <c r="E227" s="82" t="s">
        <v>451</v>
      </c>
      <c r="F227" s="82"/>
      <c r="G227" s="113"/>
      <c r="H227" s="114" t="s">
        <v>17</v>
      </c>
      <c r="I227" s="84"/>
      <c r="J227" s="109" t="s">
        <v>33</v>
      </c>
    </row>
    <row r="228" spans="1:10" ht="72" customHeight="1">
      <c r="A228" s="109" t="s">
        <v>258</v>
      </c>
      <c r="B228" s="82" t="s">
        <v>974</v>
      </c>
      <c r="C228" s="82" t="s">
        <v>1008</v>
      </c>
      <c r="D228" s="82" t="s">
        <v>1009</v>
      </c>
      <c r="E228" s="82" t="s">
        <v>454</v>
      </c>
      <c r="F228" s="82"/>
      <c r="G228" s="113"/>
      <c r="H228" s="114" t="s">
        <v>17</v>
      </c>
      <c r="I228" s="84"/>
      <c r="J228" s="109" t="s">
        <v>41</v>
      </c>
    </row>
    <row r="229" spans="1:10" ht="72" customHeight="1">
      <c r="A229" s="109" t="s">
        <v>259</v>
      </c>
      <c r="B229" s="82" t="s">
        <v>974</v>
      </c>
      <c r="C229" s="82" t="s">
        <v>1010</v>
      </c>
      <c r="D229" s="82" t="s">
        <v>1011</v>
      </c>
      <c r="E229" s="82" t="s">
        <v>457</v>
      </c>
      <c r="F229" s="82"/>
      <c r="G229" s="113"/>
      <c r="H229" s="114" t="s">
        <v>17</v>
      </c>
      <c r="I229" s="84"/>
      <c r="J229" s="109" t="s">
        <v>35</v>
      </c>
    </row>
    <row r="230" spans="1:10" ht="72" customHeight="1">
      <c r="A230" s="109" t="s">
        <v>260</v>
      </c>
      <c r="B230" s="82" t="s">
        <v>974</v>
      </c>
      <c r="C230" s="82" t="s">
        <v>1012</v>
      </c>
      <c r="D230" s="82" t="s">
        <v>1013</v>
      </c>
      <c r="E230" s="82" t="s">
        <v>1014</v>
      </c>
      <c r="F230" s="82"/>
      <c r="G230" s="113"/>
      <c r="H230" s="114" t="s">
        <v>17</v>
      </c>
      <c r="I230" s="84"/>
      <c r="J230" s="109" t="s">
        <v>33</v>
      </c>
    </row>
    <row r="231" spans="1:10" ht="72" customHeight="1">
      <c r="A231" s="109" t="s">
        <v>261</v>
      </c>
      <c r="B231" s="82" t="s">
        <v>974</v>
      </c>
      <c r="C231" s="82" t="s">
        <v>1015</v>
      </c>
      <c r="D231" s="82" t="s">
        <v>1016</v>
      </c>
      <c r="E231" s="82" t="s">
        <v>1017</v>
      </c>
      <c r="F231" s="82"/>
      <c r="G231" s="113"/>
      <c r="H231" s="114" t="s">
        <v>17</v>
      </c>
      <c r="I231" s="84"/>
      <c r="J231" s="109" t="s">
        <v>33</v>
      </c>
    </row>
    <row r="232" spans="1:10" ht="72" customHeight="1">
      <c r="A232" s="109" t="s">
        <v>262</v>
      </c>
      <c r="B232" s="82" t="s">
        <v>974</v>
      </c>
      <c r="C232" s="82" t="s">
        <v>1018</v>
      </c>
      <c r="D232" s="82" t="s">
        <v>1019</v>
      </c>
      <c r="E232" s="82" t="s">
        <v>466</v>
      </c>
      <c r="F232" s="82"/>
      <c r="G232" s="113"/>
      <c r="H232" s="114" t="s">
        <v>17</v>
      </c>
      <c r="I232" s="84"/>
      <c r="J232" s="109" t="s">
        <v>35</v>
      </c>
    </row>
    <row r="233" spans="1:10" ht="72" customHeight="1">
      <c r="A233" s="109" t="s">
        <v>263</v>
      </c>
      <c r="B233" s="82" t="s">
        <v>974</v>
      </c>
      <c r="C233" s="82" t="s">
        <v>1020</v>
      </c>
      <c r="D233" s="82" t="s">
        <v>1021</v>
      </c>
      <c r="E233" s="82" t="s">
        <v>469</v>
      </c>
      <c r="F233" s="82"/>
      <c r="G233" s="113"/>
      <c r="H233" s="114" t="s">
        <v>17</v>
      </c>
      <c r="I233" s="84"/>
      <c r="J233" s="109" t="s">
        <v>33</v>
      </c>
    </row>
    <row r="234" spans="1:10" ht="72" customHeight="1">
      <c r="A234" s="109" t="s">
        <v>264</v>
      </c>
      <c r="B234" s="82" t="s">
        <v>974</v>
      </c>
      <c r="C234" s="82" t="s">
        <v>1022</v>
      </c>
      <c r="D234" s="82" t="s">
        <v>1023</v>
      </c>
      <c r="E234" s="82" t="s">
        <v>472</v>
      </c>
      <c r="F234" s="82"/>
      <c r="G234" s="113"/>
      <c r="H234" s="114" t="s">
        <v>17</v>
      </c>
      <c r="I234" s="84"/>
      <c r="J234" s="109" t="s">
        <v>35</v>
      </c>
    </row>
    <row r="235" spans="1:10" ht="72" customHeight="1">
      <c r="A235" s="109" t="s">
        <v>265</v>
      </c>
      <c r="B235" s="82" t="s">
        <v>974</v>
      </c>
      <c r="C235" s="82" t="s">
        <v>1024</v>
      </c>
      <c r="D235" s="82" t="s">
        <v>1025</v>
      </c>
      <c r="E235" s="82" t="s">
        <v>1026</v>
      </c>
      <c r="F235" s="82"/>
      <c r="G235" s="113"/>
      <c r="H235" s="114" t="s">
        <v>17</v>
      </c>
      <c r="I235" s="84"/>
      <c r="J235" s="109" t="s">
        <v>35</v>
      </c>
    </row>
    <row r="236" spans="1:10" ht="72" customHeight="1">
      <c r="A236" s="109" t="s">
        <v>266</v>
      </c>
      <c r="B236" s="82" t="s">
        <v>974</v>
      </c>
      <c r="C236" s="82" t="s">
        <v>1027</v>
      </c>
      <c r="D236" s="82" t="s">
        <v>1028</v>
      </c>
      <c r="E236" s="82" t="s">
        <v>1029</v>
      </c>
      <c r="F236" s="82"/>
      <c r="G236" s="113"/>
      <c r="H236" s="114" t="s">
        <v>17</v>
      </c>
      <c r="I236" s="84"/>
      <c r="J236" s="109" t="s">
        <v>33</v>
      </c>
    </row>
    <row r="237" spans="1:10" ht="72" customHeight="1">
      <c r="A237" s="109" t="s">
        <v>267</v>
      </c>
      <c r="B237" s="82" t="s">
        <v>974</v>
      </c>
      <c r="C237" s="82" t="s">
        <v>1030</v>
      </c>
      <c r="D237" s="82" t="s">
        <v>1031</v>
      </c>
      <c r="E237" s="82" t="s">
        <v>1032</v>
      </c>
      <c r="F237" s="82"/>
      <c r="G237" s="113"/>
      <c r="H237" s="114" t="s">
        <v>17</v>
      </c>
      <c r="I237" s="84"/>
      <c r="J237" s="109" t="s">
        <v>35</v>
      </c>
    </row>
    <row r="238" spans="1:10" ht="72" customHeight="1">
      <c r="A238" s="109" t="s">
        <v>268</v>
      </c>
      <c r="B238" s="82" t="s">
        <v>1033</v>
      </c>
      <c r="C238" s="82" t="s">
        <v>1034</v>
      </c>
      <c r="D238" s="82" t="s">
        <v>1035</v>
      </c>
      <c r="E238" s="82" t="s">
        <v>451</v>
      </c>
      <c r="F238" s="82" t="s">
        <v>1939</v>
      </c>
      <c r="G238" s="113" t="s">
        <v>370</v>
      </c>
      <c r="H238" s="144" t="s">
        <v>16</v>
      </c>
      <c r="I238" s="84" t="s">
        <v>1904</v>
      </c>
      <c r="J238" s="109" t="s">
        <v>33</v>
      </c>
    </row>
    <row r="239" spans="1:10" ht="72" customHeight="1">
      <c r="A239" s="109" t="s">
        <v>269</v>
      </c>
      <c r="B239" s="82" t="s">
        <v>1033</v>
      </c>
      <c r="C239" s="82" t="s">
        <v>1036</v>
      </c>
      <c r="D239" s="82" t="s">
        <v>1037</v>
      </c>
      <c r="E239" s="82" t="s">
        <v>454</v>
      </c>
      <c r="F239" s="82"/>
      <c r="G239" s="113"/>
      <c r="H239" s="114" t="s">
        <v>17</v>
      </c>
      <c r="I239" s="84"/>
      <c r="J239" s="109" t="s">
        <v>41</v>
      </c>
    </row>
    <row r="240" spans="1:10" ht="72" customHeight="1">
      <c r="A240" s="109" t="s">
        <v>270</v>
      </c>
      <c r="B240" s="82" t="s">
        <v>1033</v>
      </c>
      <c r="C240" s="82" t="s">
        <v>1038</v>
      </c>
      <c r="D240" s="82" t="s">
        <v>1039</v>
      </c>
      <c r="E240" s="82" t="s">
        <v>457</v>
      </c>
      <c r="F240" s="82" t="s">
        <v>1940</v>
      </c>
      <c r="G240" s="113" t="s">
        <v>370</v>
      </c>
      <c r="H240" s="144" t="s">
        <v>16</v>
      </c>
      <c r="I240" s="84" t="s">
        <v>1904</v>
      </c>
      <c r="J240" s="109" t="s">
        <v>35</v>
      </c>
    </row>
    <row r="241" spans="1:10" ht="72" customHeight="1">
      <c r="A241" s="109" t="s">
        <v>271</v>
      </c>
      <c r="B241" s="82" t="s">
        <v>1033</v>
      </c>
      <c r="C241" s="82" t="s">
        <v>1040</v>
      </c>
      <c r="D241" s="82" t="s">
        <v>1041</v>
      </c>
      <c r="E241" s="82" t="s">
        <v>1042</v>
      </c>
      <c r="F241" s="82"/>
      <c r="G241" s="113"/>
      <c r="H241" s="114" t="s">
        <v>17</v>
      </c>
      <c r="I241" s="84"/>
      <c r="J241" s="109" t="s">
        <v>33</v>
      </c>
    </row>
    <row r="242" spans="1:10" ht="72" customHeight="1">
      <c r="A242" s="109" t="s">
        <v>272</v>
      </c>
      <c r="B242" s="82" t="s">
        <v>1033</v>
      </c>
      <c r="C242" s="82" t="s">
        <v>1043</v>
      </c>
      <c r="D242" s="82" t="s">
        <v>1044</v>
      </c>
      <c r="E242" s="82" t="s">
        <v>1045</v>
      </c>
      <c r="F242" s="82"/>
      <c r="G242" s="113"/>
      <c r="H242" s="114" t="s">
        <v>17</v>
      </c>
      <c r="I242" s="84"/>
      <c r="J242" s="109" t="s">
        <v>33</v>
      </c>
    </row>
    <row r="243" spans="1:10" ht="72" customHeight="1">
      <c r="A243" s="109" t="s">
        <v>273</v>
      </c>
      <c r="B243" s="82" t="s">
        <v>1033</v>
      </c>
      <c r="C243" s="82" t="s">
        <v>1046</v>
      </c>
      <c r="D243" s="82" t="s">
        <v>1047</v>
      </c>
      <c r="E243" s="82" t="s">
        <v>466</v>
      </c>
      <c r="F243" s="82" t="s">
        <v>1941</v>
      </c>
      <c r="G243" s="113" t="s">
        <v>370</v>
      </c>
      <c r="H243" s="144" t="s">
        <v>16</v>
      </c>
      <c r="I243" s="84" t="s">
        <v>1904</v>
      </c>
      <c r="J243" s="109" t="s">
        <v>35</v>
      </c>
    </row>
    <row r="244" spans="1:10" ht="72" customHeight="1">
      <c r="A244" s="109" t="s">
        <v>274</v>
      </c>
      <c r="B244" s="82" t="s">
        <v>1033</v>
      </c>
      <c r="C244" s="82" t="s">
        <v>1048</v>
      </c>
      <c r="D244" s="82" t="s">
        <v>1049</v>
      </c>
      <c r="E244" s="82" t="s">
        <v>469</v>
      </c>
      <c r="F244" s="82"/>
      <c r="G244" s="113"/>
      <c r="H244" s="114" t="s">
        <v>17</v>
      </c>
      <c r="I244" s="84"/>
      <c r="J244" s="109" t="s">
        <v>33</v>
      </c>
    </row>
    <row r="245" spans="1:10" ht="72" customHeight="1">
      <c r="A245" s="109" t="s">
        <v>275</v>
      </c>
      <c r="B245" s="82" t="s">
        <v>1033</v>
      </c>
      <c r="C245" s="82" t="s">
        <v>1050</v>
      </c>
      <c r="D245" s="82" t="s">
        <v>1051</v>
      </c>
      <c r="E245" s="82" t="s">
        <v>472</v>
      </c>
      <c r="F245" s="82" t="s">
        <v>1942</v>
      </c>
      <c r="G245" s="113" t="s">
        <v>370</v>
      </c>
      <c r="H245" s="144" t="s">
        <v>16</v>
      </c>
      <c r="I245" s="84" t="s">
        <v>1904</v>
      </c>
      <c r="J245" s="109" t="s">
        <v>35</v>
      </c>
    </row>
    <row r="246" spans="1:10" ht="72" customHeight="1">
      <c r="A246" s="109" t="s">
        <v>276</v>
      </c>
      <c r="B246" s="82" t="s">
        <v>1033</v>
      </c>
      <c r="C246" s="82" t="s">
        <v>1052</v>
      </c>
      <c r="D246" s="82" t="s">
        <v>1053</v>
      </c>
      <c r="E246" s="82" t="s">
        <v>1054</v>
      </c>
      <c r="F246" s="82"/>
      <c r="G246" s="113"/>
      <c r="H246" s="114" t="s">
        <v>17</v>
      </c>
      <c r="I246" s="84"/>
      <c r="J246" s="109" t="s">
        <v>35</v>
      </c>
    </row>
    <row r="247" spans="1:10" ht="72" customHeight="1">
      <c r="A247" s="109" t="s">
        <v>286</v>
      </c>
      <c r="B247" s="82" t="s">
        <v>1033</v>
      </c>
      <c r="C247" s="82" t="s">
        <v>1055</v>
      </c>
      <c r="D247" s="82" t="s">
        <v>1056</v>
      </c>
      <c r="E247" s="82" t="s">
        <v>451</v>
      </c>
      <c r="F247" s="82" t="s">
        <v>1943</v>
      </c>
      <c r="G247" s="112" t="s">
        <v>370</v>
      </c>
      <c r="H247" s="144" t="s">
        <v>16</v>
      </c>
      <c r="I247" s="84" t="s">
        <v>1904</v>
      </c>
      <c r="J247" s="109" t="s">
        <v>33</v>
      </c>
    </row>
    <row r="248" spans="1:10" ht="72" customHeight="1">
      <c r="A248" s="109" t="s">
        <v>287</v>
      </c>
      <c r="B248" s="82" t="s">
        <v>1033</v>
      </c>
      <c r="C248" s="82" t="s">
        <v>1057</v>
      </c>
      <c r="D248" s="82" t="s">
        <v>1058</v>
      </c>
      <c r="E248" s="82" t="s">
        <v>454</v>
      </c>
      <c r="F248" s="82"/>
      <c r="G248" s="112"/>
      <c r="H248" s="114" t="s">
        <v>17</v>
      </c>
      <c r="I248" s="84"/>
      <c r="J248" s="109" t="s">
        <v>41</v>
      </c>
    </row>
    <row r="249" spans="1:10" ht="72" customHeight="1">
      <c r="A249" s="109" t="s">
        <v>288</v>
      </c>
      <c r="B249" s="82" t="s">
        <v>1033</v>
      </c>
      <c r="C249" s="82" t="s">
        <v>1059</v>
      </c>
      <c r="D249" s="82" t="s">
        <v>1060</v>
      </c>
      <c r="E249" s="82" t="s">
        <v>457</v>
      </c>
      <c r="F249" s="82" t="s">
        <v>1944</v>
      </c>
      <c r="G249" s="112" t="s">
        <v>370</v>
      </c>
      <c r="H249" s="144" t="s">
        <v>16</v>
      </c>
      <c r="I249" s="84" t="s">
        <v>1904</v>
      </c>
      <c r="J249" s="109" t="s">
        <v>35</v>
      </c>
    </row>
    <row r="250" spans="1:10" ht="72" customHeight="1">
      <c r="A250" s="109" t="s">
        <v>289</v>
      </c>
      <c r="B250" s="82" t="s">
        <v>1033</v>
      </c>
      <c r="C250" s="82" t="s">
        <v>1061</v>
      </c>
      <c r="D250" s="82" t="s">
        <v>1062</v>
      </c>
      <c r="E250" s="82" t="s">
        <v>1063</v>
      </c>
      <c r="F250" s="82"/>
      <c r="G250" s="112"/>
      <c r="H250" s="114" t="s">
        <v>17</v>
      </c>
      <c r="I250" s="84"/>
      <c r="J250" s="109" t="s">
        <v>33</v>
      </c>
    </row>
    <row r="251" spans="1:10" ht="72" customHeight="1">
      <c r="A251" s="109" t="s">
        <v>290</v>
      </c>
      <c r="B251" s="82" t="s">
        <v>1033</v>
      </c>
      <c r="C251" s="82" t="s">
        <v>1064</v>
      </c>
      <c r="D251" s="82" t="s">
        <v>1065</v>
      </c>
      <c r="E251" s="82" t="s">
        <v>466</v>
      </c>
      <c r="F251" s="82" t="s">
        <v>1945</v>
      </c>
      <c r="G251" s="112" t="s">
        <v>370</v>
      </c>
      <c r="H251" s="144" t="s">
        <v>16</v>
      </c>
      <c r="I251" s="84" t="s">
        <v>1904</v>
      </c>
      <c r="J251" s="109" t="s">
        <v>35</v>
      </c>
    </row>
    <row r="252" spans="1:10" ht="72" customHeight="1">
      <c r="A252" s="109" t="s">
        <v>291</v>
      </c>
      <c r="B252" s="82" t="s">
        <v>1033</v>
      </c>
      <c r="C252" s="82" t="s">
        <v>1066</v>
      </c>
      <c r="D252" s="82" t="s">
        <v>1067</v>
      </c>
      <c r="E252" s="82" t="s">
        <v>469</v>
      </c>
      <c r="F252" s="82"/>
      <c r="G252" s="112"/>
      <c r="H252" s="114" t="s">
        <v>17</v>
      </c>
      <c r="I252" s="84"/>
      <c r="J252" s="109" t="s">
        <v>33</v>
      </c>
    </row>
    <row r="253" spans="1:10" ht="72" customHeight="1">
      <c r="A253" s="109" t="s">
        <v>292</v>
      </c>
      <c r="B253" s="82" t="s">
        <v>1033</v>
      </c>
      <c r="C253" s="82" t="s">
        <v>1068</v>
      </c>
      <c r="D253" s="82" t="s">
        <v>1069</v>
      </c>
      <c r="E253" s="82" t="s">
        <v>472</v>
      </c>
      <c r="F253" s="82" t="s">
        <v>1946</v>
      </c>
      <c r="G253" s="112" t="s">
        <v>370</v>
      </c>
      <c r="H253" s="144" t="s">
        <v>16</v>
      </c>
      <c r="I253" s="84" t="s">
        <v>1904</v>
      </c>
      <c r="J253" s="109" t="s">
        <v>35</v>
      </c>
    </row>
    <row r="254" spans="1:10" ht="72" customHeight="1">
      <c r="A254" s="109" t="s">
        <v>293</v>
      </c>
      <c r="B254" s="82" t="s">
        <v>1033</v>
      </c>
      <c r="C254" s="82" t="s">
        <v>1070</v>
      </c>
      <c r="D254" s="82" t="s">
        <v>1071</v>
      </c>
      <c r="E254" s="82" t="s">
        <v>1072</v>
      </c>
      <c r="F254" s="82"/>
      <c r="G254" s="112"/>
      <c r="H254" s="114" t="s">
        <v>17</v>
      </c>
      <c r="I254" s="84"/>
      <c r="J254" s="109" t="s">
        <v>35</v>
      </c>
    </row>
    <row r="255" spans="1:10" ht="72" customHeight="1">
      <c r="A255" s="109" t="s">
        <v>294</v>
      </c>
      <c r="B255" s="82" t="s">
        <v>1033</v>
      </c>
      <c r="C255" s="82" t="s">
        <v>1073</v>
      </c>
      <c r="D255" s="82" t="s">
        <v>1074</v>
      </c>
      <c r="E255" s="82" t="s">
        <v>1075</v>
      </c>
      <c r="F255" s="82"/>
      <c r="G255" s="112"/>
      <c r="H255" s="114" t="s">
        <v>17</v>
      </c>
      <c r="I255" s="84"/>
      <c r="J255" s="109" t="s">
        <v>35</v>
      </c>
    </row>
    <row r="256" spans="1:10" ht="72" customHeight="1">
      <c r="A256" s="109" t="s">
        <v>295</v>
      </c>
      <c r="B256" s="82" t="s">
        <v>1033</v>
      </c>
      <c r="C256" s="82" t="s">
        <v>1076</v>
      </c>
      <c r="D256" s="82" t="s">
        <v>1077</v>
      </c>
      <c r="E256" s="82" t="s">
        <v>1078</v>
      </c>
      <c r="F256" s="82"/>
      <c r="G256" s="112"/>
      <c r="H256" s="114" t="s">
        <v>17</v>
      </c>
      <c r="I256" s="84"/>
      <c r="J256" s="109" t="s">
        <v>35</v>
      </c>
    </row>
    <row r="257" spans="1:10" ht="72" customHeight="1">
      <c r="A257" s="109" t="s">
        <v>296</v>
      </c>
      <c r="B257" s="82" t="s">
        <v>1033</v>
      </c>
      <c r="C257" s="82" t="s">
        <v>1079</v>
      </c>
      <c r="D257" s="82" t="s">
        <v>1080</v>
      </c>
      <c r="E257" s="82" t="s">
        <v>1081</v>
      </c>
      <c r="F257" s="82"/>
      <c r="G257" s="112"/>
      <c r="H257" s="114" t="s">
        <v>17</v>
      </c>
      <c r="I257" s="84"/>
      <c r="J257" s="109" t="s">
        <v>35</v>
      </c>
    </row>
    <row r="258" spans="1:10" ht="72" customHeight="1">
      <c r="A258" s="109" t="s">
        <v>297</v>
      </c>
      <c r="B258" s="82" t="s">
        <v>1082</v>
      </c>
      <c r="C258" s="82" t="s">
        <v>1083</v>
      </c>
      <c r="D258" s="82" t="s">
        <v>1084</v>
      </c>
      <c r="E258" s="82" t="s">
        <v>1085</v>
      </c>
      <c r="F258" s="82"/>
      <c r="G258" s="112"/>
      <c r="H258" s="114" t="s">
        <v>17</v>
      </c>
      <c r="I258" s="84"/>
      <c r="J258" s="109" t="s">
        <v>35</v>
      </c>
    </row>
    <row r="259" spans="1:10" ht="72" customHeight="1">
      <c r="A259" s="109" t="s">
        <v>298</v>
      </c>
      <c r="B259" s="82" t="s">
        <v>1082</v>
      </c>
      <c r="C259" s="82" t="s">
        <v>1086</v>
      </c>
      <c r="D259" s="82" t="s">
        <v>1087</v>
      </c>
      <c r="E259" s="82" t="s">
        <v>1088</v>
      </c>
      <c r="F259" s="82"/>
      <c r="G259" s="112"/>
      <c r="H259" s="114" t="s">
        <v>17</v>
      </c>
      <c r="I259" s="84"/>
      <c r="J259" s="109" t="s">
        <v>31</v>
      </c>
    </row>
    <row r="260" spans="1:10" ht="72" customHeight="1">
      <c r="A260" s="109" t="s">
        <v>299</v>
      </c>
      <c r="B260" s="82" t="s">
        <v>1082</v>
      </c>
      <c r="C260" s="82" t="s">
        <v>1089</v>
      </c>
      <c r="D260" s="82" t="s">
        <v>1090</v>
      </c>
      <c r="E260" s="82" t="s">
        <v>1091</v>
      </c>
      <c r="F260" s="82"/>
      <c r="G260" s="112"/>
      <c r="H260" s="114" t="s">
        <v>17</v>
      </c>
      <c r="I260" s="84"/>
      <c r="J260" s="109" t="s">
        <v>31</v>
      </c>
    </row>
    <row r="261" spans="1:10" ht="72" customHeight="1">
      <c r="A261" s="109" t="s">
        <v>300</v>
      </c>
      <c r="B261" s="82" t="s">
        <v>1082</v>
      </c>
      <c r="C261" s="82" t="s">
        <v>1092</v>
      </c>
      <c r="D261" s="82" t="s">
        <v>1093</v>
      </c>
      <c r="E261" s="82" t="s">
        <v>1094</v>
      </c>
      <c r="F261" s="82"/>
      <c r="G261" s="112"/>
      <c r="H261" s="114" t="s">
        <v>17</v>
      </c>
      <c r="I261" s="84"/>
      <c r="J261" s="109" t="s">
        <v>31</v>
      </c>
    </row>
    <row r="262" spans="1:10" ht="72" customHeight="1">
      <c r="A262" s="109" t="s">
        <v>301</v>
      </c>
      <c r="B262" s="82" t="s">
        <v>1082</v>
      </c>
      <c r="C262" s="82" t="s">
        <v>1095</v>
      </c>
      <c r="D262" s="82" t="s">
        <v>1096</v>
      </c>
      <c r="E262" s="82" t="s">
        <v>1097</v>
      </c>
      <c r="F262" s="82"/>
      <c r="G262" s="112"/>
      <c r="H262" s="114" t="s">
        <v>17</v>
      </c>
      <c r="I262" s="84"/>
      <c r="J262" s="109" t="s">
        <v>31</v>
      </c>
    </row>
    <row r="263" spans="1:10" ht="72" customHeight="1">
      <c r="A263" s="109" t="s">
        <v>302</v>
      </c>
      <c r="B263" s="82" t="s">
        <v>1098</v>
      </c>
      <c r="C263" s="82" t="s">
        <v>1099</v>
      </c>
      <c r="D263" s="82" t="s">
        <v>1100</v>
      </c>
      <c r="E263" s="82" t="s">
        <v>1101</v>
      </c>
      <c r="F263" s="82"/>
      <c r="G263" s="112"/>
      <c r="H263" s="114" t="s">
        <v>17</v>
      </c>
      <c r="I263" s="84"/>
      <c r="J263" s="109" t="s">
        <v>35</v>
      </c>
    </row>
    <row r="264" spans="1:10" ht="72" customHeight="1">
      <c r="A264" s="109" t="s">
        <v>303</v>
      </c>
      <c r="B264" s="82" t="s">
        <v>1098</v>
      </c>
      <c r="C264" s="82" t="s">
        <v>1102</v>
      </c>
      <c r="D264" s="82" t="s">
        <v>1103</v>
      </c>
      <c r="E264" s="82" t="s">
        <v>1104</v>
      </c>
      <c r="F264" s="82"/>
      <c r="G264" s="112"/>
      <c r="H264" s="114" t="s">
        <v>17</v>
      </c>
      <c r="I264" s="84"/>
      <c r="J264" s="109" t="s">
        <v>31</v>
      </c>
    </row>
    <row r="265" spans="1:10" ht="72" customHeight="1">
      <c r="A265" s="109" t="s">
        <v>304</v>
      </c>
      <c r="B265" s="82" t="s">
        <v>1098</v>
      </c>
      <c r="C265" s="82" t="s">
        <v>1105</v>
      </c>
      <c r="D265" s="82" t="s">
        <v>1106</v>
      </c>
      <c r="E265" s="82" t="s">
        <v>1107</v>
      </c>
      <c r="F265" s="82"/>
      <c r="G265" s="112"/>
      <c r="H265" s="114" t="s">
        <v>17</v>
      </c>
      <c r="I265" s="84"/>
      <c r="J265" s="109" t="s">
        <v>31</v>
      </c>
    </row>
    <row r="266" spans="1:10" ht="72" customHeight="1">
      <c r="A266" s="109" t="s">
        <v>305</v>
      </c>
      <c r="B266" s="82" t="s">
        <v>1098</v>
      </c>
      <c r="C266" s="82" t="s">
        <v>1108</v>
      </c>
      <c r="D266" s="82" t="s">
        <v>1109</v>
      </c>
      <c r="E266" s="82" t="s">
        <v>1110</v>
      </c>
      <c r="F266" s="82"/>
      <c r="G266" s="112"/>
      <c r="H266" s="114" t="s">
        <v>17</v>
      </c>
      <c r="I266" s="84"/>
      <c r="J266" s="109" t="s">
        <v>35</v>
      </c>
    </row>
    <row r="267" spans="1:10" ht="72" customHeight="1">
      <c r="A267" s="109" t="s">
        <v>306</v>
      </c>
      <c r="B267" s="82" t="s">
        <v>1098</v>
      </c>
      <c r="C267" s="82" t="s">
        <v>1111</v>
      </c>
      <c r="D267" s="82" t="s">
        <v>1112</v>
      </c>
      <c r="E267" s="82" t="s">
        <v>1113</v>
      </c>
      <c r="F267" s="82"/>
      <c r="G267" s="112"/>
      <c r="H267" s="114" t="s">
        <v>17</v>
      </c>
      <c r="I267" s="84"/>
      <c r="J267" s="109" t="s">
        <v>35</v>
      </c>
    </row>
    <row r="268" spans="1:10" ht="72" customHeight="1">
      <c r="A268" s="109" t="s">
        <v>307</v>
      </c>
      <c r="B268" s="82" t="s">
        <v>1098</v>
      </c>
      <c r="C268" s="82" t="s">
        <v>1114</v>
      </c>
      <c r="D268" s="82" t="s">
        <v>1115</v>
      </c>
      <c r="E268" s="82" t="s">
        <v>1116</v>
      </c>
      <c r="F268" s="82"/>
      <c r="G268" s="112"/>
      <c r="H268" s="114" t="s">
        <v>17</v>
      </c>
      <c r="I268" s="84"/>
      <c r="J268" s="109" t="s">
        <v>31</v>
      </c>
    </row>
    <row r="269" spans="1:10" ht="72" customHeight="1">
      <c r="A269" s="109" t="s">
        <v>308</v>
      </c>
      <c r="B269" s="82" t="s">
        <v>1098</v>
      </c>
      <c r="C269" s="82" t="s">
        <v>1117</v>
      </c>
      <c r="D269" s="82" t="s">
        <v>1118</v>
      </c>
      <c r="E269" s="82" t="s">
        <v>1119</v>
      </c>
      <c r="F269" s="82"/>
      <c r="G269" s="112"/>
      <c r="H269" s="114" t="s">
        <v>17</v>
      </c>
      <c r="I269" s="84"/>
      <c r="J269" s="109" t="s">
        <v>35</v>
      </c>
    </row>
    <row r="270" spans="1:10" ht="72" customHeight="1">
      <c r="A270" s="109" t="s">
        <v>309</v>
      </c>
      <c r="B270" s="82" t="s">
        <v>1098</v>
      </c>
      <c r="C270" s="82" t="s">
        <v>1120</v>
      </c>
      <c r="D270" s="82" t="s">
        <v>1121</v>
      </c>
      <c r="E270" s="82" t="s">
        <v>1122</v>
      </c>
      <c r="F270" s="82"/>
      <c r="G270" s="112"/>
      <c r="H270" s="114" t="s">
        <v>17</v>
      </c>
      <c r="I270" s="84"/>
      <c r="J270" s="109" t="s">
        <v>31</v>
      </c>
    </row>
    <row r="271" spans="1:10" ht="72" customHeight="1">
      <c r="A271" s="109" t="s">
        <v>310</v>
      </c>
      <c r="B271" s="82" t="s">
        <v>1098</v>
      </c>
      <c r="C271" s="82" t="s">
        <v>1123</v>
      </c>
      <c r="D271" s="82" t="s">
        <v>1124</v>
      </c>
      <c r="E271" s="82" t="s">
        <v>1125</v>
      </c>
      <c r="F271" s="82"/>
      <c r="G271" s="112"/>
      <c r="H271" s="114" t="s">
        <v>17</v>
      </c>
      <c r="I271" s="84"/>
      <c r="J271" s="109" t="s">
        <v>35</v>
      </c>
    </row>
    <row r="272" spans="1:10" ht="72" customHeight="1">
      <c r="A272" s="109" t="s">
        <v>311</v>
      </c>
      <c r="B272" s="82" t="s">
        <v>1126</v>
      </c>
      <c r="C272" s="82" t="s">
        <v>1127</v>
      </c>
      <c r="D272" s="82" t="s">
        <v>1128</v>
      </c>
      <c r="E272" s="82" t="s">
        <v>1129</v>
      </c>
      <c r="F272" s="82"/>
      <c r="G272" s="112"/>
      <c r="H272" s="114" t="s">
        <v>17</v>
      </c>
      <c r="I272" s="84"/>
      <c r="J272" s="109" t="s">
        <v>35</v>
      </c>
    </row>
    <row r="273" spans="1:10" ht="72" customHeight="1">
      <c r="A273" s="109" t="s">
        <v>312</v>
      </c>
      <c r="B273" s="82" t="s">
        <v>1126</v>
      </c>
      <c r="C273" s="82" t="s">
        <v>1130</v>
      </c>
      <c r="D273" s="82" t="s">
        <v>1131</v>
      </c>
      <c r="E273" s="82" t="s">
        <v>1132</v>
      </c>
      <c r="F273" s="82"/>
      <c r="G273" s="112"/>
      <c r="H273" s="114" t="s">
        <v>17</v>
      </c>
      <c r="I273" s="84"/>
      <c r="J273" s="109" t="s">
        <v>31</v>
      </c>
    </row>
    <row r="274" spans="1:10" ht="72" customHeight="1">
      <c r="A274" s="109" t="s">
        <v>313</v>
      </c>
      <c r="B274" s="82" t="s">
        <v>1126</v>
      </c>
      <c r="C274" s="82" t="s">
        <v>1133</v>
      </c>
      <c r="D274" s="82" t="s">
        <v>1134</v>
      </c>
      <c r="E274" s="82" t="s">
        <v>1135</v>
      </c>
      <c r="F274" s="82"/>
      <c r="G274" s="112"/>
      <c r="H274" s="114" t="s">
        <v>17</v>
      </c>
      <c r="I274" s="84"/>
      <c r="J274" s="109" t="s">
        <v>31</v>
      </c>
    </row>
    <row r="275" spans="1:10" ht="72" customHeight="1">
      <c r="A275" s="109" t="s">
        <v>314</v>
      </c>
      <c r="B275" s="82" t="s">
        <v>1126</v>
      </c>
      <c r="C275" s="82" t="s">
        <v>1136</v>
      </c>
      <c r="D275" s="82" t="s">
        <v>1137</v>
      </c>
      <c r="E275" s="82" t="s">
        <v>1138</v>
      </c>
      <c r="F275" s="82"/>
      <c r="G275" s="112"/>
      <c r="H275" s="114" t="s">
        <v>17</v>
      </c>
      <c r="I275" s="84"/>
      <c r="J275" s="109" t="s">
        <v>35</v>
      </c>
    </row>
    <row r="276" spans="1:10" ht="72" customHeight="1">
      <c r="A276" s="109" t="s">
        <v>315</v>
      </c>
      <c r="B276" s="82" t="s">
        <v>1126</v>
      </c>
      <c r="C276" s="82" t="s">
        <v>1139</v>
      </c>
      <c r="D276" s="82" t="s">
        <v>1140</v>
      </c>
      <c r="E276" s="82" t="s">
        <v>1141</v>
      </c>
      <c r="F276" s="82"/>
      <c r="G276" s="112"/>
      <c r="H276" s="114" t="s">
        <v>17</v>
      </c>
      <c r="I276" s="84"/>
      <c r="J276" s="109" t="s">
        <v>31</v>
      </c>
    </row>
    <row r="277" spans="1:10" ht="72" customHeight="1">
      <c r="A277" s="109" t="s">
        <v>316</v>
      </c>
      <c r="B277" s="82" t="s">
        <v>1126</v>
      </c>
      <c r="C277" s="82" t="s">
        <v>1142</v>
      </c>
      <c r="D277" s="82" t="s">
        <v>1143</v>
      </c>
      <c r="E277" s="82" t="s">
        <v>1144</v>
      </c>
      <c r="F277" s="82"/>
      <c r="G277" s="112"/>
      <c r="H277" s="114" t="s">
        <v>17</v>
      </c>
      <c r="I277" s="84"/>
      <c r="J277" s="109" t="s">
        <v>31</v>
      </c>
    </row>
    <row r="278" spans="1:10" ht="72" customHeight="1">
      <c r="A278" s="109" t="s">
        <v>317</v>
      </c>
      <c r="B278" s="82" t="s">
        <v>1126</v>
      </c>
      <c r="C278" s="82" t="s">
        <v>1145</v>
      </c>
      <c r="D278" s="82" t="s">
        <v>1146</v>
      </c>
      <c r="E278" s="82" t="s">
        <v>1147</v>
      </c>
      <c r="F278" s="82"/>
      <c r="G278" s="112"/>
      <c r="H278" s="114" t="s">
        <v>17</v>
      </c>
      <c r="I278" s="84"/>
      <c r="J278" s="109" t="s">
        <v>31</v>
      </c>
    </row>
    <row r="279" spans="1:10" ht="72" customHeight="1">
      <c r="A279" s="109" t="s">
        <v>318</v>
      </c>
      <c r="B279" s="82" t="s">
        <v>1126</v>
      </c>
      <c r="C279" s="82" t="s">
        <v>1148</v>
      </c>
      <c r="D279" s="82" t="s">
        <v>1149</v>
      </c>
      <c r="E279" s="82" t="s">
        <v>1150</v>
      </c>
      <c r="F279" s="82"/>
      <c r="G279" s="112"/>
      <c r="H279" s="114" t="s">
        <v>17</v>
      </c>
      <c r="I279" s="84"/>
      <c r="J279" s="109" t="s">
        <v>35</v>
      </c>
    </row>
    <row r="280" spans="1:10" ht="72" customHeight="1">
      <c r="A280" s="109" t="s">
        <v>319</v>
      </c>
      <c r="B280" s="82" t="s">
        <v>1126</v>
      </c>
      <c r="C280" s="82" t="s">
        <v>1151</v>
      </c>
      <c r="D280" s="82" t="s">
        <v>1152</v>
      </c>
      <c r="E280" s="82" t="s">
        <v>1153</v>
      </c>
      <c r="F280" s="82"/>
      <c r="G280" s="112"/>
      <c r="H280" s="114" t="s">
        <v>17</v>
      </c>
      <c r="I280" s="84"/>
      <c r="J280" s="109" t="s">
        <v>35</v>
      </c>
    </row>
    <row r="281" spans="1:10" ht="72" customHeight="1">
      <c r="A281" s="109" t="s">
        <v>320</v>
      </c>
      <c r="B281" s="82" t="s">
        <v>1126</v>
      </c>
      <c r="C281" s="82" t="s">
        <v>1154</v>
      </c>
      <c r="D281" s="82" t="s">
        <v>1155</v>
      </c>
      <c r="E281" s="82" t="s">
        <v>1156</v>
      </c>
      <c r="F281" s="82"/>
      <c r="G281" s="112"/>
      <c r="H281" s="114" t="s">
        <v>17</v>
      </c>
      <c r="I281" s="84"/>
      <c r="J281" s="109" t="s">
        <v>31</v>
      </c>
    </row>
    <row r="282" spans="1:10" ht="72" customHeight="1">
      <c r="A282" s="109" t="s">
        <v>321</v>
      </c>
      <c r="B282" s="82" t="s">
        <v>1126</v>
      </c>
      <c r="C282" s="82" t="s">
        <v>1157</v>
      </c>
      <c r="D282" s="82" t="s">
        <v>1158</v>
      </c>
      <c r="E282" s="82" t="s">
        <v>1159</v>
      </c>
      <c r="F282" s="82"/>
      <c r="G282" s="112"/>
      <c r="H282" s="114" t="s">
        <v>17</v>
      </c>
      <c r="I282" s="84"/>
      <c r="J282" s="109" t="s">
        <v>31</v>
      </c>
    </row>
    <row r="283" spans="1:10" ht="72" customHeight="1">
      <c r="A283" s="109" t="s">
        <v>322</v>
      </c>
      <c r="B283" s="82" t="s">
        <v>1126</v>
      </c>
      <c r="C283" s="82" t="s">
        <v>1160</v>
      </c>
      <c r="D283" s="82" t="s">
        <v>1161</v>
      </c>
      <c r="E283" s="82" t="s">
        <v>1162</v>
      </c>
      <c r="F283" s="82"/>
      <c r="G283" s="112"/>
      <c r="H283" s="114" t="s">
        <v>17</v>
      </c>
      <c r="I283" s="84"/>
      <c r="J283" s="109" t="s">
        <v>31</v>
      </c>
    </row>
    <row r="284" spans="1:10" ht="72" customHeight="1">
      <c r="A284" s="109" t="s">
        <v>323</v>
      </c>
      <c r="B284" s="82" t="s">
        <v>1126</v>
      </c>
      <c r="C284" s="82" t="s">
        <v>1163</v>
      </c>
      <c r="D284" s="82" t="s">
        <v>1164</v>
      </c>
      <c r="E284" s="82" t="s">
        <v>1165</v>
      </c>
      <c r="F284" s="82"/>
      <c r="G284" s="112"/>
      <c r="H284" s="114" t="s">
        <v>17</v>
      </c>
      <c r="I284" s="84"/>
      <c r="J284" s="109" t="s">
        <v>31</v>
      </c>
    </row>
    <row r="285" spans="1:10" ht="72" customHeight="1">
      <c r="A285" s="109" t="s">
        <v>324</v>
      </c>
      <c r="B285" s="82" t="s">
        <v>1126</v>
      </c>
      <c r="C285" s="82" t="s">
        <v>1166</v>
      </c>
      <c r="D285" s="82" t="s">
        <v>1167</v>
      </c>
      <c r="E285" s="82" t="s">
        <v>1168</v>
      </c>
      <c r="F285" s="82"/>
      <c r="G285" s="112"/>
      <c r="H285" s="114" t="s">
        <v>17</v>
      </c>
      <c r="I285" s="84"/>
      <c r="J285" s="109" t="s">
        <v>31</v>
      </c>
    </row>
    <row r="286" spans="1:10" ht="72" customHeight="1">
      <c r="A286" s="109" t="s">
        <v>325</v>
      </c>
      <c r="B286" s="82" t="s">
        <v>1126</v>
      </c>
      <c r="C286" s="82" t="s">
        <v>1169</v>
      </c>
      <c r="D286" s="82" t="s">
        <v>1170</v>
      </c>
      <c r="E286" s="82" t="s">
        <v>1171</v>
      </c>
      <c r="F286" s="82" t="s">
        <v>1947</v>
      </c>
      <c r="G286" s="112" t="s">
        <v>370</v>
      </c>
      <c r="H286" s="144" t="s">
        <v>16</v>
      </c>
      <c r="I286" s="84" t="s">
        <v>1904</v>
      </c>
      <c r="J286" s="109" t="s">
        <v>31</v>
      </c>
    </row>
    <row r="287" spans="1:10" ht="72" customHeight="1">
      <c r="A287" s="109" t="s">
        <v>326</v>
      </c>
      <c r="B287" s="82" t="s">
        <v>1172</v>
      </c>
      <c r="C287" s="82" t="s">
        <v>1173</v>
      </c>
      <c r="D287" s="82" t="s">
        <v>1174</v>
      </c>
      <c r="E287" s="82" t="s">
        <v>451</v>
      </c>
      <c r="F287" s="82" t="s">
        <v>1948</v>
      </c>
      <c r="G287" s="112" t="s">
        <v>370</v>
      </c>
      <c r="H287" s="144" t="s">
        <v>16</v>
      </c>
      <c r="I287" s="84" t="s">
        <v>1904</v>
      </c>
      <c r="J287" s="109" t="s">
        <v>33</v>
      </c>
    </row>
    <row r="288" spans="1:10" ht="72" customHeight="1">
      <c r="A288" s="109" t="s">
        <v>327</v>
      </c>
      <c r="B288" s="82" t="s">
        <v>1172</v>
      </c>
      <c r="C288" s="82" t="s">
        <v>1175</v>
      </c>
      <c r="D288" s="82" t="s">
        <v>1176</v>
      </c>
      <c r="E288" s="82" t="s">
        <v>454</v>
      </c>
      <c r="F288" s="82"/>
      <c r="G288" s="112"/>
      <c r="H288" s="114" t="s">
        <v>17</v>
      </c>
      <c r="I288" s="84"/>
      <c r="J288" s="109" t="s">
        <v>41</v>
      </c>
    </row>
    <row r="289" spans="1:10" ht="72" customHeight="1">
      <c r="A289" s="109" t="s">
        <v>328</v>
      </c>
      <c r="B289" s="82" t="s">
        <v>1172</v>
      </c>
      <c r="C289" s="82" t="s">
        <v>1177</v>
      </c>
      <c r="D289" s="82" t="s">
        <v>1178</v>
      </c>
      <c r="E289" s="82" t="s">
        <v>457</v>
      </c>
      <c r="F289" s="82" t="s">
        <v>1949</v>
      </c>
      <c r="G289" s="112" t="s">
        <v>370</v>
      </c>
      <c r="H289" s="144" t="s">
        <v>16</v>
      </c>
      <c r="I289" s="84" t="s">
        <v>1904</v>
      </c>
      <c r="J289" s="109" t="s">
        <v>35</v>
      </c>
    </row>
    <row r="290" spans="1:10" ht="72" customHeight="1">
      <c r="A290" s="109" t="s">
        <v>329</v>
      </c>
      <c r="B290" s="82" t="s">
        <v>1172</v>
      </c>
      <c r="C290" s="82" t="s">
        <v>1179</v>
      </c>
      <c r="D290" s="82" t="s">
        <v>1180</v>
      </c>
      <c r="E290" s="82" t="s">
        <v>1181</v>
      </c>
      <c r="F290" s="82"/>
      <c r="G290" s="112"/>
      <c r="H290" s="114" t="s">
        <v>17</v>
      </c>
      <c r="I290" s="84"/>
      <c r="J290" s="109" t="s">
        <v>33</v>
      </c>
    </row>
    <row r="291" spans="1:10" ht="72" customHeight="1">
      <c r="A291" s="109" t="s">
        <v>330</v>
      </c>
      <c r="B291" s="82" t="s">
        <v>1172</v>
      </c>
      <c r="C291" s="82" t="s">
        <v>1182</v>
      </c>
      <c r="D291" s="82" t="s">
        <v>1183</v>
      </c>
      <c r="E291" s="82" t="s">
        <v>1184</v>
      </c>
      <c r="F291" s="82"/>
      <c r="G291" s="112"/>
      <c r="H291" s="114" t="s">
        <v>17</v>
      </c>
      <c r="I291" s="84"/>
      <c r="J291" s="109" t="s">
        <v>33</v>
      </c>
    </row>
    <row r="292" spans="1:10" ht="72" customHeight="1">
      <c r="A292" s="109" t="s">
        <v>331</v>
      </c>
      <c r="B292" s="82" t="s">
        <v>1172</v>
      </c>
      <c r="C292" s="82" t="s">
        <v>1185</v>
      </c>
      <c r="D292" s="82" t="s">
        <v>1186</v>
      </c>
      <c r="E292" s="82" t="s">
        <v>466</v>
      </c>
      <c r="F292" s="82" t="s">
        <v>1950</v>
      </c>
      <c r="G292" s="112" t="s">
        <v>370</v>
      </c>
      <c r="H292" s="144" t="s">
        <v>16</v>
      </c>
      <c r="I292" s="84" t="s">
        <v>1904</v>
      </c>
      <c r="J292" s="109" t="s">
        <v>35</v>
      </c>
    </row>
    <row r="293" spans="1:10" ht="72" customHeight="1">
      <c r="A293" s="109" t="s">
        <v>332</v>
      </c>
      <c r="B293" s="82" t="s">
        <v>1172</v>
      </c>
      <c r="C293" s="82" t="s">
        <v>1187</v>
      </c>
      <c r="D293" s="82" t="s">
        <v>1188</v>
      </c>
      <c r="E293" s="82" t="s">
        <v>469</v>
      </c>
      <c r="F293" s="82"/>
      <c r="G293" s="112"/>
      <c r="H293" s="114" t="s">
        <v>17</v>
      </c>
      <c r="I293" s="84"/>
      <c r="J293" s="109" t="s">
        <v>33</v>
      </c>
    </row>
    <row r="294" spans="1:10" ht="72" customHeight="1">
      <c r="A294" s="109" t="s">
        <v>333</v>
      </c>
      <c r="B294" s="82" t="s">
        <v>1172</v>
      </c>
      <c r="C294" s="82" t="s">
        <v>1189</v>
      </c>
      <c r="D294" s="82" t="s">
        <v>1190</v>
      </c>
      <c r="E294" s="82" t="s">
        <v>472</v>
      </c>
      <c r="F294" s="82" t="s">
        <v>1951</v>
      </c>
      <c r="G294" s="112" t="s">
        <v>370</v>
      </c>
      <c r="H294" s="144" t="s">
        <v>16</v>
      </c>
      <c r="I294" s="84" t="s">
        <v>1904</v>
      </c>
      <c r="J294" s="109" t="s">
        <v>35</v>
      </c>
    </row>
    <row r="295" spans="1:10" ht="72" customHeight="1">
      <c r="A295" s="109" t="s">
        <v>334</v>
      </c>
      <c r="B295" s="82" t="s">
        <v>1172</v>
      </c>
      <c r="C295" s="82" t="s">
        <v>1191</v>
      </c>
      <c r="D295" s="82" t="s">
        <v>1192</v>
      </c>
      <c r="E295" s="82" t="s">
        <v>1193</v>
      </c>
      <c r="F295" s="82" t="s">
        <v>1952</v>
      </c>
      <c r="G295" s="112" t="s">
        <v>370</v>
      </c>
      <c r="H295" s="144" t="s">
        <v>16</v>
      </c>
      <c r="I295" s="84" t="s">
        <v>1904</v>
      </c>
      <c r="J295" s="109" t="s">
        <v>31</v>
      </c>
    </row>
    <row r="296" spans="1:10" ht="72" customHeight="1">
      <c r="A296" s="109" t="s">
        <v>335</v>
      </c>
      <c r="B296" s="82" t="s">
        <v>1172</v>
      </c>
      <c r="C296" s="82" t="s">
        <v>1194</v>
      </c>
      <c r="D296" s="82" t="s">
        <v>1195</v>
      </c>
      <c r="E296" s="82" t="s">
        <v>723</v>
      </c>
      <c r="F296" s="82" t="s">
        <v>1953</v>
      </c>
      <c r="G296" s="112" t="s">
        <v>370</v>
      </c>
      <c r="H296" s="144" t="s">
        <v>16</v>
      </c>
      <c r="I296" s="84" t="s">
        <v>1904</v>
      </c>
      <c r="J296" s="109" t="s">
        <v>31</v>
      </c>
    </row>
    <row r="297" spans="1:10" ht="72" customHeight="1">
      <c r="A297" s="109" t="s">
        <v>336</v>
      </c>
      <c r="B297" s="82" t="s">
        <v>1172</v>
      </c>
      <c r="C297" s="82" t="s">
        <v>1196</v>
      </c>
      <c r="D297" s="82" t="s">
        <v>1197</v>
      </c>
      <c r="E297" s="82" t="s">
        <v>1198</v>
      </c>
      <c r="F297" s="82" t="s">
        <v>1954</v>
      </c>
      <c r="G297" s="112" t="s">
        <v>370</v>
      </c>
      <c r="H297" s="144" t="s">
        <v>16</v>
      </c>
      <c r="I297" s="84" t="s">
        <v>1904</v>
      </c>
      <c r="J297" s="109" t="s">
        <v>31</v>
      </c>
    </row>
    <row r="298" spans="1:10" ht="72" customHeight="1">
      <c r="A298" s="109" t="s">
        <v>337</v>
      </c>
      <c r="B298" s="82" t="s">
        <v>1172</v>
      </c>
      <c r="C298" s="82" t="s">
        <v>1199</v>
      </c>
      <c r="D298" s="82" t="s">
        <v>1200</v>
      </c>
      <c r="E298" s="82" t="s">
        <v>1201</v>
      </c>
      <c r="F298" s="82"/>
      <c r="G298" s="112"/>
      <c r="H298" s="114" t="s">
        <v>17</v>
      </c>
      <c r="I298" s="84"/>
      <c r="J298" s="109" t="s">
        <v>31</v>
      </c>
    </row>
    <row r="299" spans="1:10" ht="72" customHeight="1">
      <c r="A299" s="109" t="s">
        <v>338</v>
      </c>
      <c r="B299" s="82" t="s">
        <v>1172</v>
      </c>
      <c r="C299" s="82" t="s">
        <v>1202</v>
      </c>
      <c r="D299" s="82" t="s">
        <v>1203</v>
      </c>
      <c r="E299" s="82" t="s">
        <v>1204</v>
      </c>
      <c r="F299" s="82" t="s">
        <v>1955</v>
      </c>
      <c r="G299" s="112" t="s">
        <v>370</v>
      </c>
      <c r="H299" s="144" t="s">
        <v>16</v>
      </c>
      <c r="I299" s="84" t="s">
        <v>1904</v>
      </c>
      <c r="J299" s="109" t="s">
        <v>31</v>
      </c>
    </row>
    <row r="300" spans="1:10" ht="72" customHeight="1">
      <c r="A300" s="109" t="s">
        <v>339</v>
      </c>
      <c r="B300" s="82" t="s">
        <v>1172</v>
      </c>
      <c r="C300" s="82" t="s">
        <v>1205</v>
      </c>
      <c r="D300" s="82" t="s">
        <v>1206</v>
      </c>
      <c r="E300" s="82" t="s">
        <v>1207</v>
      </c>
      <c r="F300" s="82"/>
      <c r="G300" s="112"/>
      <c r="H300" s="114" t="s">
        <v>17</v>
      </c>
      <c r="I300" s="84"/>
      <c r="J300" s="109" t="s">
        <v>31</v>
      </c>
    </row>
    <row r="301" spans="1:10" ht="72" customHeight="1">
      <c r="A301" s="109" t="s">
        <v>340</v>
      </c>
      <c r="B301" s="82" t="s">
        <v>1172</v>
      </c>
      <c r="C301" s="82" t="s">
        <v>1208</v>
      </c>
      <c r="D301" s="82" t="s">
        <v>1209</v>
      </c>
      <c r="E301" s="82" t="s">
        <v>1210</v>
      </c>
      <c r="F301" s="82"/>
      <c r="G301" s="112"/>
      <c r="H301" s="114" t="s">
        <v>17</v>
      </c>
      <c r="I301" s="84"/>
      <c r="J301" s="109" t="s">
        <v>31</v>
      </c>
    </row>
    <row r="302" spans="1:10" ht="72" customHeight="1">
      <c r="A302" s="109" t="s">
        <v>341</v>
      </c>
      <c r="B302" s="82" t="s">
        <v>1211</v>
      </c>
      <c r="C302" s="82" t="s">
        <v>1212</v>
      </c>
      <c r="D302" s="82" t="s">
        <v>1213</v>
      </c>
      <c r="E302" s="82" t="s">
        <v>1214</v>
      </c>
      <c r="F302" s="82"/>
      <c r="G302" s="112"/>
      <c r="H302" s="114" t="s">
        <v>17</v>
      </c>
      <c r="I302" s="84"/>
      <c r="J302" s="109" t="s">
        <v>35</v>
      </c>
    </row>
    <row r="303" spans="1:10" ht="72" customHeight="1">
      <c r="A303" s="109" t="s">
        <v>342</v>
      </c>
      <c r="B303" s="82" t="s">
        <v>1211</v>
      </c>
      <c r="C303" s="82" t="s">
        <v>1215</v>
      </c>
      <c r="D303" s="82" t="s">
        <v>1216</v>
      </c>
      <c r="E303" s="82" t="s">
        <v>1217</v>
      </c>
      <c r="F303" s="82"/>
      <c r="G303" s="112"/>
      <c r="H303" s="114" t="s">
        <v>17</v>
      </c>
      <c r="I303" s="84"/>
      <c r="J303" s="109" t="s">
        <v>35</v>
      </c>
    </row>
    <row r="304" spans="1:10" ht="72" customHeight="1">
      <c r="A304" s="109" t="s">
        <v>343</v>
      </c>
      <c r="B304" s="82" t="s">
        <v>1211</v>
      </c>
      <c r="C304" s="82" t="s">
        <v>1218</v>
      </c>
      <c r="D304" s="82" t="s">
        <v>1219</v>
      </c>
      <c r="E304" s="82" t="s">
        <v>982</v>
      </c>
      <c r="F304" s="82"/>
      <c r="G304" s="112"/>
      <c r="H304" s="114" t="s">
        <v>17</v>
      </c>
      <c r="I304" s="84"/>
      <c r="J304" s="109" t="s">
        <v>35</v>
      </c>
    </row>
    <row r="305" spans="1:10" ht="72" customHeight="1">
      <c r="A305" s="109" t="s">
        <v>344</v>
      </c>
      <c r="B305" s="82" t="s">
        <v>1211</v>
      </c>
      <c r="C305" s="82" t="s">
        <v>1220</v>
      </c>
      <c r="D305" s="82" t="s">
        <v>1221</v>
      </c>
      <c r="E305" s="82" t="s">
        <v>1222</v>
      </c>
      <c r="F305" s="82"/>
      <c r="G305" s="112"/>
      <c r="H305" s="114" t="s">
        <v>17</v>
      </c>
      <c r="I305" s="84"/>
      <c r="J305" s="109" t="s">
        <v>35</v>
      </c>
    </row>
    <row r="306" spans="1:10" ht="72" customHeight="1">
      <c r="A306" s="109" t="s">
        <v>345</v>
      </c>
      <c r="B306" s="82" t="s">
        <v>1211</v>
      </c>
      <c r="C306" s="82" t="s">
        <v>1223</v>
      </c>
      <c r="D306" s="82" t="s">
        <v>1224</v>
      </c>
      <c r="E306" s="82" t="s">
        <v>1225</v>
      </c>
      <c r="F306" s="82"/>
      <c r="G306" s="112"/>
      <c r="H306" s="114" t="s">
        <v>17</v>
      </c>
      <c r="I306" s="84"/>
      <c r="J306" s="109" t="s">
        <v>31</v>
      </c>
    </row>
    <row r="307" spans="1:10" ht="72" customHeight="1">
      <c r="A307" s="109" t="s">
        <v>346</v>
      </c>
      <c r="B307" s="82" t="s">
        <v>1226</v>
      </c>
      <c r="C307" s="82" t="s">
        <v>1227</v>
      </c>
      <c r="D307" s="82" t="s">
        <v>1228</v>
      </c>
      <c r="E307" s="82" t="s">
        <v>1229</v>
      </c>
      <c r="F307" s="82"/>
      <c r="G307" s="112"/>
      <c r="H307" s="114" t="s">
        <v>17</v>
      </c>
      <c r="I307" s="84"/>
      <c r="J307" s="109" t="s">
        <v>35</v>
      </c>
    </row>
    <row r="308" spans="1:10" ht="72" customHeight="1">
      <c r="A308" s="109" t="s">
        <v>347</v>
      </c>
      <c r="B308" s="82" t="s">
        <v>1226</v>
      </c>
      <c r="C308" s="82" t="s">
        <v>1230</v>
      </c>
      <c r="D308" s="82" t="s">
        <v>1231</v>
      </c>
      <c r="E308" s="82" t="s">
        <v>1232</v>
      </c>
      <c r="F308" s="82"/>
      <c r="G308" s="112"/>
      <c r="H308" s="114" t="s">
        <v>17</v>
      </c>
      <c r="I308" s="84"/>
      <c r="J308" s="109" t="s">
        <v>35</v>
      </c>
    </row>
    <row r="309" spans="1:10" ht="72" customHeight="1">
      <c r="A309" s="109" t="s">
        <v>348</v>
      </c>
      <c r="B309" s="82" t="s">
        <v>1226</v>
      </c>
      <c r="C309" s="82" t="s">
        <v>1233</v>
      </c>
      <c r="D309" s="82" t="s">
        <v>1234</v>
      </c>
      <c r="E309" s="82" t="s">
        <v>982</v>
      </c>
      <c r="F309" s="82"/>
      <c r="G309" s="112"/>
      <c r="H309" s="114" t="s">
        <v>17</v>
      </c>
      <c r="I309" s="84"/>
      <c r="J309" s="109" t="s">
        <v>35</v>
      </c>
    </row>
    <row r="310" spans="1:10" ht="72" customHeight="1">
      <c r="A310" s="109" t="s">
        <v>349</v>
      </c>
      <c r="B310" s="82" t="s">
        <v>1226</v>
      </c>
      <c r="C310" s="82" t="s">
        <v>1235</v>
      </c>
      <c r="D310" s="82" t="s">
        <v>1236</v>
      </c>
      <c r="E310" s="82" t="s">
        <v>1237</v>
      </c>
      <c r="F310" s="82"/>
      <c r="G310" s="112"/>
      <c r="H310" s="114" t="s">
        <v>17</v>
      </c>
      <c r="I310" s="84"/>
      <c r="J310" s="109" t="s">
        <v>35</v>
      </c>
    </row>
    <row r="311" spans="1:10" ht="72" customHeight="1">
      <c r="A311" s="109" t="s">
        <v>350</v>
      </c>
      <c r="B311" s="82" t="s">
        <v>1226</v>
      </c>
      <c r="C311" s="82" t="s">
        <v>1238</v>
      </c>
      <c r="D311" s="82" t="s">
        <v>1239</v>
      </c>
      <c r="E311" s="82" t="s">
        <v>1240</v>
      </c>
      <c r="F311" s="82" t="s">
        <v>1956</v>
      </c>
      <c r="G311" s="112" t="s">
        <v>370</v>
      </c>
      <c r="H311" s="144" t="s">
        <v>16</v>
      </c>
      <c r="I311" s="84" t="s">
        <v>1904</v>
      </c>
      <c r="J311" s="109" t="s">
        <v>31</v>
      </c>
    </row>
    <row r="312" spans="1:10" ht="72" customHeight="1">
      <c r="A312" s="109" t="s">
        <v>351</v>
      </c>
      <c r="B312" s="82" t="s">
        <v>1226</v>
      </c>
      <c r="C312" s="82" t="s">
        <v>1241</v>
      </c>
      <c r="D312" s="82" t="s">
        <v>1242</v>
      </c>
      <c r="E312" s="82" t="s">
        <v>1243</v>
      </c>
      <c r="F312" s="82"/>
      <c r="G312" s="112"/>
      <c r="H312" s="114" t="s">
        <v>17</v>
      </c>
      <c r="I312" s="84"/>
      <c r="J312" s="109" t="s">
        <v>35</v>
      </c>
    </row>
    <row r="313" spans="1:10" ht="72" customHeight="1">
      <c r="A313" s="109" t="s">
        <v>352</v>
      </c>
      <c r="B313" s="82" t="s">
        <v>1226</v>
      </c>
      <c r="C313" s="82" t="s">
        <v>1244</v>
      </c>
      <c r="D313" s="82" t="s">
        <v>1245</v>
      </c>
      <c r="E313" s="82" t="s">
        <v>1246</v>
      </c>
      <c r="F313" s="82"/>
      <c r="G313" s="112"/>
      <c r="H313" s="114" t="s">
        <v>17</v>
      </c>
      <c r="I313" s="84"/>
      <c r="J313" s="109" t="s">
        <v>35</v>
      </c>
    </row>
    <row r="314" spans="1:10" ht="72" customHeight="1">
      <c r="A314" s="109" t="s">
        <v>353</v>
      </c>
      <c r="B314" s="82" t="s">
        <v>1226</v>
      </c>
      <c r="C314" s="82" t="s">
        <v>1247</v>
      </c>
      <c r="D314" s="82" t="s">
        <v>1248</v>
      </c>
      <c r="E314" s="82" t="s">
        <v>1249</v>
      </c>
      <c r="F314" s="82"/>
      <c r="G314" s="112"/>
      <c r="H314" s="114" t="s">
        <v>17</v>
      </c>
      <c r="I314" s="84"/>
      <c r="J314" s="109" t="s">
        <v>31</v>
      </c>
    </row>
    <row r="315" spans="1:10" ht="72" customHeight="1">
      <c r="A315" s="109" t="s">
        <v>354</v>
      </c>
      <c r="B315" s="82" t="s">
        <v>1250</v>
      </c>
      <c r="C315" s="82" t="s">
        <v>1251</v>
      </c>
      <c r="D315" s="82" t="s">
        <v>1252</v>
      </c>
      <c r="E315" s="82" t="s">
        <v>1253</v>
      </c>
      <c r="F315" s="82"/>
      <c r="G315" s="112"/>
      <c r="H315" s="114" t="s">
        <v>17</v>
      </c>
      <c r="I315" s="84"/>
      <c r="J315" s="109" t="s">
        <v>31</v>
      </c>
    </row>
    <row r="316" spans="1:10" ht="72" customHeight="1">
      <c r="A316" s="109" t="s">
        <v>355</v>
      </c>
      <c r="B316" s="82" t="s">
        <v>1250</v>
      </c>
      <c r="C316" s="82" t="s">
        <v>1254</v>
      </c>
      <c r="D316" s="82" t="s">
        <v>1255</v>
      </c>
      <c r="E316" s="82" t="s">
        <v>1256</v>
      </c>
      <c r="F316" s="82"/>
      <c r="G316" s="112"/>
      <c r="H316" s="114" t="s">
        <v>17</v>
      </c>
      <c r="I316" s="84"/>
      <c r="J316" s="109" t="s">
        <v>35</v>
      </c>
    </row>
    <row r="317" spans="1:10" ht="72" customHeight="1">
      <c r="A317" s="109" t="s">
        <v>356</v>
      </c>
      <c r="B317" s="82" t="s">
        <v>1250</v>
      </c>
      <c r="C317" s="82" t="s">
        <v>1257</v>
      </c>
      <c r="D317" s="82" t="s">
        <v>1258</v>
      </c>
      <c r="E317" s="82" t="s">
        <v>1259</v>
      </c>
      <c r="F317" s="82"/>
      <c r="G317" s="112"/>
      <c r="H317" s="114" t="s">
        <v>17</v>
      </c>
      <c r="I317" s="84"/>
      <c r="J317" s="109" t="s">
        <v>35</v>
      </c>
    </row>
    <row r="318" spans="1:10" ht="72" customHeight="1">
      <c r="A318" s="109" t="s">
        <v>357</v>
      </c>
      <c r="B318" s="82" t="s">
        <v>1250</v>
      </c>
      <c r="C318" s="82" t="s">
        <v>1260</v>
      </c>
      <c r="D318" s="82" t="s">
        <v>1261</v>
      </c>
      <c r="E318" s="82" t="s">
        <v>1262</v>
      </c>
      <c r="F318" s="82" t="s">
        <v>1957</v>
      </c>
      <c r="G318" s="112" t="s">
        <v>370</v>
      </c>
      <c r="H318" s="144" t="s">
        <v>16</v>
      </c>
      <c r="I318" s="84" t="s">
        <v>1904</v>
      </c>
      <c r="J318" s="109" t="s">
        <v>31</v>
      </c>
    </row>
    <row r="319" spans="1:10" ht="72" customHeight="1">
      <c r="A319" s="109" t="s">
        <v>358</v>
      </c>
      <c r="B319" s="82" t="s">
        <v>1250</v>
      </c>
      <c r="C319" s="82" t="s">
        <v>1263</v>
      </c>
      <c r="D319" s="82" t="s">
        <v>1264</v>
      </c>
      <c r="E319" s="82" t="s">
        <v>1265</v>
      </c>
      <c r="F319" s="82"/>
      <c r="G319" s="112"/>
      <c r="H319" s="114" t="s">
        <v>17</v>
      </c>
      <c r="I319" s="84"/>
      <c r="J319" s="109" t="s">
        <v>35</v>
      </c>
    </row>
    <row r="320" spans="1:10" ht="72" customHeight="1">
      <c r="A320" s="109" t="s">
        <v>359</v>
      </c>
      <c r="B320" s="82" t="s">
        <v>1250</v>
      </c>
      <c r="C320" s="82" t="s">
        <v>1266</v>
      </c>
      <c r="D320" s="82" t="s">
        <v>1267</v>
      </c>
      <c r="E320" s="82" t="s">
        <v>1268</v>
      </c>
      <c r="F320" s="82" t="s">
        <v>1958</v>
      </c>
      <c r="G320" s="112" t="s">
        <v>370</v>
      </c>
      <c r="H320" s="144" t="s">
        <v>16</v>
      </c>
      <c r="I320" s="84" t="s">
        <v>1904</v>
      </c>
      <c r="J320" s="109" t="s">
        <v>31</v>
      </c>
    </row>
    <row r="321" spans="1:10" ht="72" customHeight="1">
      <c r="A321" s="109" t="s">
        <v>360</v>
      </c>
      <c r="B321" s="82" t="s">
        <v>1250</v>
      </c>
      <c r="C321" s="82" t="s">
        <v>1269</v>
      </c>
      <c r="D321" s="82" t="s">
        <v>1270</v>
      </c>
      <c r="E321" s="82" t="s">
        <v>1271</v>
      </c>
      <c r="F321" s="82" t="s">
        <v>1959</v>
      </c>
      <c r="G321" s="112" t="s">
        <v>370</v>
      </c>
      <c r="H321" s="144" t="s">
        <v>16</v>
      </c>
      <c r="I321" s="84" t="s">
        <v>1904</v>
      </c>
      <c r="J321" s="109" t="s">
        <v>31</v>
      </c>
    </row>
    <row r="322" spans="1:10" ht="72" customHeight="1">
      <c r="A322" s="109" t="s">
        <v>361</v>
      </c>
      <c r="B322" s="82" t="s">
        <v>1250</v>
      </c>
      <c r="C322" s="82" t="s">
        <v>1272</v>
      </c>
      <c r="D322" s="82" t="s">
        <v>1273</v>
      </c>
      <c r="E322" s="82" t="s">
        <v>1274</v>
      </c>
      <c r="F322" s="82"/>
      <c r="G322" s="112"/>
      <c r="H322" s="114" t="s">
        <v>17</v>
      </c>
      <c r="I322" s="84"/>
      <c r="J322" s="109" t="s">
        <v>35</v>
      </c>
    </row>
    <row r="323" spans="1:10" ht="72" customHeight="1">
      <c r="A323" s="109" t="s">
        <v>362</v>
      </c>
      <c r="B323" s="82" t="s">
        <v>1250</v>
      </c>
      <c r="C323" s="82" t="s">
        <v>1275</v>
      </c>
      <c r="D323" s="82" t="s">
        <v>1276</v>
      </c>
      <c r="E323" s="82" t="s">
        <v>1277</v>
      </c>
      <c r="F323" s="82"/>
      <c r="G323" s="112"/>
      <c r="H323" s="114" t="s">
        <v>17</v>
      </c>
      <c r="I323" s="84"/>
      <c r="J323" s="109" t="s">
        <v>33</v>
      </c>
    </row>
    <row r="324" spans="1:10" ht="72" customHeight="1">
      <c r="A324" s="109" t="s">
        <v>363</v>
      </c>
      <c r="B324" s="82" t="s">
        <v>1250</v>
      </c>
      <c r="C324" s="82" t="s">
        <v>1278</v>
      </c>
      <c r="D324" s="82" t="s">
        <v>1279</v>
      </c>
      <c r="E324" s="82" t="s">
        <v>1280</v>
      </c>
      <c r="F324" s="82"/>
      <c r="G324" s="112"/>
      <c r="H324" s="114" t="s">
        <v>17</v>
      </c>
      <c r="I324" s="84"/>
      <c r="J324" s="109" t="s">
        <v>33</v>
      </c>
    </row>
    <row r="325" spans="1:10" ht="72" customHeight="1">
      <c r="A325" s="109" t="s">
        <v>364</v>
      </c>
      <c r="B325" s="82" t="s">
        <v>1281</v>
      </c>
      <c r="C325" s="82" t="s">
        <v>1282</v>
      </c>
      <c r="D325" s="82" t="s">
        <v>1283</v>
      </c>
      <c r="E325" s="82" t="s">
        <v>1284</v>
      </c>
      <c r="F325" s="82"/>
      <c r="G325" s="112"/>
      <c r="H325" s="114" t="s">
        <v>17</v>
      </c>
      <c r="I325" s="84"/>
      <c r="J325" s="109" t="s">
        <v>35</v>
      </c>
    </row>
    <row r="326" spans="1:10" ht="72" customHeight="1">
      <c r="A326" s="109" t="s">
        <v>365</v>
      </c>
      <c r="B326" s="82" t="s">
        <v>1281</v>
      </c>
      <c r="C326" s="82" t="s">
        <v>1285</v>
      </c>
      <c r="D326" s="82" t="s">
        <v>1286</v>
      </c>
      <c r="E326" s="82" t="s">
        <v>1287</v>
      </c>
      <c r="F326" s="82"/>
      <c r="G326" s="112"/>
      <c r="H326" s="114" t="s">
        <v>17</v>
      </c>
      <c r="I326" s="84"/>
      <c r="J326" s="109" t="s">
        <v>35</v>
      </c>
    </row>
    <row r="327" spans="1:10" ht="72" customHeight="1">
      <c r="A327" s="109" t="s">
        <v>366</v>
      </c>
      <c r="B327" s="82" t="s">
        <v>1281</v>
      </c>
      <c r="C327" s="82" t="s">
        <v>1288</v>
      </c>
      <c r="D327" s="82" t="s">
        <v>1289</v>
      </c>
      <c r="E327" s="82" t="s">
        <v>1290</v>
      </c>
      <c r="F327" s="82"/>
      <c r="G327" s="112"/>
      <c r="H327" s="114" t="s">
        <v>17</v>
      </c>
      <c r="I327" s="84"/>
      <c r="J327" s="109" t="s">
        <v>35</v>
      </c>
    </row>
    <row r="328" spans="1:10" ht="72" customHeight="1">
      <c r="A328" s="109" t="s">
        <v>367</v>
      </c>
      <c r="B328" s="82" t="s">
        <v>1281</v>
      </c>
      <c r="C328" s="82" t="s">
        <v>1291</v>
      </c>
      <c r="D328" s="82" t="s">
        <v>1292</v>
      </c>
      <c r="E328" s="82" t="s">
        <v>1293</v>
      </c>
      <c r="F328" s="82"/>
      <c r="G328" s="112"/>
      <c r="H328" s="114" t="s">
        <v>17</v>
      </c>
      <c r="I328" s="84"/>
      <c r="J328" s="109" t="s">
        <v>31</v>
      </c>
    </row>
    <row r="329" spans="1:10" ht="72" customHeight="1">
      <c r="A329" s="109" t="s">
        <v>368</v>
      </c>
      <c r="B329" s="82" t="s">
        <v>1281</v>
      </c>
      <c r="C329" s="82" t="s">
        <v>1294</v>
      </c>
      <c r="D329" s="82" t="s">
        <v>1295</v>
      </c>
      <c r="E329" s="82" t="s">
        <v>1296</v>
      </c>
      <c r="F329" s="82" t="s">
        <v>1960</v>
      </c>
      <c r="G329" s="112" t="s">
        <v>370</v>
      </c>
      <c r="H329" s="144" t="s">
        <v>16</v>
      </c>
      <c r="I329" s="84" t="s">
        <v>1904</v>
      </c>
      <c r="J329" s="109" t="s">
        <v>31</v>
      </c>
    </row>
    <row r="330" spans="1:10" ht="72" customHeight="1">
      <c r="A330" s="109" t="s">
        <v>369</v>
      </c>
      <c r="B330" s="82" t="s">
        <v>1281</v>
      </c>
      <c r="C330" s="82" t="s">
        <v>1297</v>
      </c>
      <c r="D330" s="82" t="s">
        <v>1298</v>
      </c>
      <c r="E330" s="82" t="s">
        <v>1299</v>
      </c>
      <c r="F330" s="82"/>
      <c r="G330" s="112"/>
      <c r="H330" s="114" t="s">
        <v>17</v>
      </c>
      <c r="I330" s="84"/>
      <c r="J330" s="109" t="s">
        <v>31</v>
      </c>
    </row>
    <row r="331" spans="1:10" ht="72" customHeight="1">
      <c r="A331" s="109" t="s">
        <v>1300</v>
      </c>
      <c r="B331" s="82" t="s">
        <v>1281</v>
      </c>
      <c r="C331" s="82" t="s">
        <v>1301</v>
      </c>
      <c r="D331" s="82" t="s">
        <v>1302</v>
      </c>
      <c r="E331" s="82" t="s">
        <v>1303</v>
      </c>
      <c r="F331" s="82"/>
      <c r="G331" s="112"/>
      <c r="H331" s="114" t="s">
        <v>17</v>
      </c>
      <c r="I331" s="84"/>
      <c r="J331" s="109" t="s">
        <v>35</v>
      </c>
    </row>
    <row r="332" spans="1:10" ht="72" customHeight="1">
      <c r="A332" s="109" t="s">
        <v>1304</v>
      </c>
      <c r="B332" s="82" t="s">
        <v>1281</v>
      </c>
      <c r="C332" s="82" t="s">
        <v>1305</v>
      </c>
      <c r="D332" s="82" t="s">
        <v>1306</v>
      </c>
      <c r="E332" s="82" t="s">
        <v>1307</v>
      </c>
      <c r="F332" s="82"/>
      <c r="G332" s="112"/>
      <c r="H332" s="114" t="s">
        <v>17</v>
      </c>
      <c r="I332" s="84"/>
      <c r="J332" s="109" t="s">
        <v>35</v>
      </c>
    </row>
    <row r="333" spans="1:10" ht="72" customHeight="1">
      <c r="A333" s="109" t="s">
        <v>1308</v>
      </c>
      <c r="B333" s="82" t="s">
        <v>1281</v>
      </c>
      <c r="C333" s="82" t="s">
        <v>1309</v>
      </c>
      <c r="D333" s="82" t="s">
        <v>1310</v>
      </c>
      <c r="E333" s="82" t="s">
        <v>1311</v>
      </c>
      <c r="F333" s="82"/>
      <c r="G333" s="112"/>
      <c r="H333" s="114" t="s">
        <v>17</v>
      </c>
      <c r="I333" s="84"/>
      <c r="J333" s="109" t="s">
        <v>35</v>
      </c>
    </row>
    <row r="334" spans="1:10" ht="72" customHeight="1">
      <c r="A334" s="109" t="s">
        <v>1312</v>
      </c>
      <c r="B334" s="82" t="s">
        <v>1281</v>
      </c>
      <c r="C334" s="82" t="s">
        <v>1313</v>
      </c>
      <c r="D334" s="82" t="s">
        <v>1314</v>
      </c>
      <c r="E334" s="82" t="s">
        <v>1315</v>
      </c>
      <c r="F334" s="82"/>
      <c r="G334" s="112"/>
      <c r="H334" s="114" t="s">
        <v>17</v>
      </c>
      <c r="I334" s="84"/>
      <c r="J334" s="109" t="s">
        <v>31</v>
      </c>
    </row>
    <row r="335" spans="1:10" ht="72" customHeight="1">
      <c r="A335" s="109" t="s">
        <v>1316</v>
      </c>
      <c r="B335" s="82" t="s">
        <v>1281</v>
      </c>
      <c r="C335" s="82" t="s">
        <v>1317</v>
      </c>
      <c r="D335" s="82" t="s">
        <v>1318</v>
      </c>
      <c r="E335" s="82" t="s">
        <v>982</v>
      </c>
      <c r="F335" s="82"/>
      <c r="G335" s="112"/>
      <c r="H335" s="114" t="s">
        <v>17</v>
      </c>
      <c r="I335" s="84"/>
      <c r="J335" s="109" t="s">
        <v>35</v>
      </c>
    </row>
    <row r="336" spans="1:10" ht="72" customHeight="1">
      <c r="A336" s="109" t="s">
        <v>1319</v>
      </c>
      <c r="B336" s="82" t="s">
        <v>1281</v>
      </c>
      <c r="C336" s="82" t="s">
        <v>1320</v>
      </c>
      <c r="D336" s="82" t="s">
        <v>1321</v>
      </c>
      <c r="E336" s="82" t="s">
        <v>1322</v>
      </c>
      <c r="F336" s="82"/>
      <c r="G336" s="112"/>
      <c r="H336" s="114" t="s">
        <v>17</v>
      </c>
      <c r="I336" s="84"/>
      <c r="J336" s="109" t="s">
        <v>31</v>
      </c>
    </row>
    <row r="337" spans="1:10" ht="72" customHeight="1">
      <c r="A337" s="109" t="s">
        <v>1323</v>
      </c>
      <c r="B337" s="82" t="s">
        <v>1281</v>
      </c>
      <c r="C337" s="82" t="s">
        <v>1324</v>
      </c>
      <c r="D337" s="82" t="s">
        <v>1325</v>
      </c>
      <c r="E337" s="82" t="s">
        <v>1326</v>
      </c>
      <c r="F337" s="82"/>
      <c r="G337" s="112"/>
      <c r="H337" s="114" t="s">
        <v>17</v>
      </c>
      <c r="I337" s="84"/>
      <c r="J337" s="109" t="s">
        <v>35</v>
      </c>
    </row>
    <row r="338" spans="1:10" ht="72" customHeight="1">
      <c r="A338" s="109" t="s">
        <v>1327</v>
      </c>
      <c r="B338" s="82" t="s">
        <v>1281</v>
      </c>
      <c r="C338" s="82" t="s">
        <v>1328</v>
      </c>
      <c r="D338" s="82" t="s">
        <v>1329</v>
      </c>
      <c r="E338" s="82" t="s">
        <v>1330</v>
      </c>
      <c r="F338" s="82"/>
      <c r="G338" s="112"/>
      <c r="H338" s="114" t="s">
        <v>17</v>
      </c>
      <c r="I338" s="84"/>
      <c r="J338" s="109" t="s">
        <v>31</v>
      </c>
    </row>
    <row r="339" spans="1:10" ht="72" customHeight="1">
      <c r="A339" s="109" t="s">
        <v>1331</v>
      </c>
      <c r="B339" s="82" t="s">
        <v>1281</v>
      </c>
      <c r="C339" s="82" t="s">
        <v>1332</v>
      </c>
      <c r="D339" s="82" t="s">
        <v>1333</v>
      </c>
      <c r="E339" s="82" t="s">
        <v>1334</v>
      </c>
      <c r="F339" s="82"/>
      <c r="G339" s="112"/>
      <c r="H339" s="114" t="s">
        <v>17</v>
      </c>
      <c r="I339" s="84"/>
      <c r="J339" s="109" t="s">
        <v>35</v>
      </c>
    </row>
    <row r="340" spans="1:10" ht="72" customHeight="1">
      <c r="A340" s="109" t="s">
        <v>1335</v>
      </c>
      <c r="B340" s="82" t="s">
        <v>1336</v>
      </c>
      <c r="C340" s="82" t="s">
        <v>1337</v>
      </c>
      <c r="D340" s="82" t="s">
        <v>1338</v>
      </c>
      <c r="E340" s="82" t="s">
        <v>1339</v>
      </c>
      <c r="F340" s="82"/>
      <c r="G340" s="112"/>
      <c r="H340" s="114" t="s">
        <v>17</v>
      </c>
      <c r="I340" s="84"/>
      <c r="J340" s="109" t="s">
        <v>31</v>
      </c>
    </row>
    <row r="341" spans="1:10" ht="72" customHeight="1">
      <c r="A341" s="109" t="s">
        <v>1340</v>
      </c>
      <c r="B341" s="82" t="s">
        <v>1336</v>
      </c>
      <c r="C341" s="82" t="s">
        <v>1341</v>
      </c>
      <c r="D341" s="82" t="s">
        <v>1342</v>
      </c>
      <c r="E341" s="82" t="s">
        <v>1343</v>
      </c>
      <c r="F341" s="82"/>
      <c r="G341" s="112"/>
      <c r="H341" s="114" t="s">
        <v>17</v>
      </c>
      <c r="I341" s="84"/>
      <c r="J341" s="109" t="s">
        <v>31</v>
      </c>
    </row>
    <row r="342" spans="1:10" ht="72" customHeight="1">
      <c r="A342" s="109" t="s">
        <v>1344</v>
      </c>
      <c r="B342" s="82" t="s">
        <v>1336</v>
      </c>
      <c r="C342" s="82" t="s">
        <v>1345</v>
      </c>
      <c r="D342" s="82" t="s">
        <v>1346</v>
      </c>
      <c r="E342" s="82" t="s">
        <v>1347</v>
      </c>
      <c r="F342" s="82"/>
      <c r="G342" s="112"/>
      <c r="H342" s="114" t="s">
        <v>17</v>
      </c>
      <c r="I342" s="84"/>
      <c r="J342" s="109" t="s">
        <v>35</v>
      </c>
    </row>
    <row r="343" spans="1:10" ht="72" customHeight="1">
      <c r="A343" s="109" t="s">
        <v>1348</v>
      </c>
      <c r="B343" s="82" t="s">
        <v>1336</v>
      </c>
      <c r="C343" s="82" t="s">
        <v>1349</v>
      </c>
      <c r="D343" s="82" t="s">
        <v>1350</v>
      </c>
      <c r="E343" s="82" t="s">
        <v>1351</v>
      </c>
      <c r="F343" s="82"/>
      <c r="G343" s="112"/>
      <c r="H343" s="114" t="s">
        <v>17</v>
      </c>
      <c r="I343" s="84"/>
      <c r="J343" s="109" t="s">
        <v>35</v>
      </c>
    </row>
    <row r="344" spans="1:10" ht="72" customHeight="1">
      <c r="A344" s="109" t="s">
        <v>1352</v>
      </c>
      <c r="B344" s="82" t="s">
        <v>1336</v>
      </c>
      <c r="C344" s="82" t="s">
        <v>1353</v>
      </c>
      <c r="D344" s="82" t="s">
        <v>1354</v>
      </c>
      <c r="E344" s="82" t="s">
        <v>1355</v>
      </c>
      <c r="F344" s="82"/>
      <c r="G344" s="112"/>
      <c r="H344" s="114" t="s">
        <v>17</v>
      </c>
      <c r="I344" s="84"/>
      <c r="J344" s="109" t="s">
        <v>35</v>
      </c>
    </row>
    <row r="345" spans="1:10" ht="72" customHeight="1">
      <c r="A345" s="109" t="s">
        <v>1356</v>
      </c>
      <c r="B345" s="82" t="s">
        <v>1336</v>
      </c>
      <c r="C345" s="82" t="s">
        <v>1357</v>
      </c>
      <c r="D345" s="82" t="s">
        <v>1358</v>
      </c>
      <c r="E345" s="82" t="s">
        <v>1359</v>
      </c>
      <c r="F345" s="82"/>
      <c r="G345" s="112"/>
      <c r="H345" s="114" t="s">
        <v>17</v>
      </c>
      <c r="I345" s="84"/>
      <c r="J345" s="109" t="s">
        <v>31</v>
      </c>
    </row>
    <row r="346" spans="1:10" ht="72" customHeight="1">
      <c r="A346" s="109" t="s">
        <v>1360</v>
      </c>
      <c r="B346" s="82" t="s">
        <v>1336</v>
      </c>
      <c r="C346" s="82" t="s">
        <v>1361</v>
      </c>
      <c r="D346" s="82" t="s">
        <v>1362</v>
      </c>
      <c r="E346" s="82" t="s">
        <v>1363</v>
      </c>
      <c r="F346" s="82"/>
      <c r="G346" s="112"/>
      <c r="H346" s="114" t="s">
        <v>17</v>
      </c>
      <c r="I346" s="84"/>
      <c r="J346" s="109" t="s">
        <v>31</v>
      </c>
    </row>
    <row r="347" spans="1:10" ht="72" customHeight="1">
      <c r="A347" s="109" t="s">
        <v>1364</v>
      </c>
      <c r="B347" s="82" t="s">
        <v>1336</v>
      </c>
      <c r="C347" s="82" t="s">
        <v>1365</v>
      </c>
      <c r="D347" s="82" t="s">
        <v>1366</v>
      </c>
      <c r="E347" s="82" t="s">
        <v>1367</v>
      </c>
      <c r="F347" s="82"/>
      <c r="G347" s="112"/>
      <c r="H347" s="114" t="s">
        <v>17</v>
      </c>
      <c r="I347" s="84"/>
      <c r="J347" s="109" t="s">
        <v>35</v>
      </c>
    </row>
    <row r="348" spans="1:10" ht="72" customHeight="1">
      <c r="A348" s="109" t="s">
        <v>1368</v>
      </c>
      <c r="B348" s="82" t="s">
        <v>1336</v>
      </c>
      <c r="C348" s="82" t="s">
        <v>1369</v>
      </c>
      <c r="D348" s="82" t="s">
        <v>1370</v>
      </c>
      <c r="E348" s="82" t="s">
        <v>1371</v>
      </c>
      <c r="F348" s="82"/>
      <c r="G348" s="112"/>
      <c r="H348" s="114" t="s">
        <v>17</v>
      </c>
      <c r="I348" s="84"/>
      <c r="J348" s="109" t="s">
        <v>35</v>
      </c>
    </row>
    <row r="349" spans="1:10" ht="72" customHeight="1">
      <c r="A349" s="109" t="s">
        <v>1372</v>
      </c>
      <c r="B349" s="82" t="s">
        <v>1336</v>
      </c>
      <c r="C349" s="82" t="s">
        <v>1373</v>
      </c>
      <c r="D349" s="82" t="s">
        <v>1374</v>
      </c>
      <c r="E349" s="82" t="s">
        <v>1375</v>
      </c>
      <c r="F349" s="82"/>
      <c r="G349" s="112"/>
      <c r="H349" s="114" t="s">
        <v>17</v>
      </c>
      <c r="I349" s="84"/>
      <c r="J349" s="109" t="s">
        <v>35</v>
      </c>
    </row>
    <row r="350" spans="1:10" ht="72" customHeight="1">
      <c r="A350" s="109" t="s">
        <v>1376</v>
      </c>
      <c r="B350" s="82" t="s">
        <v>1377</v>
      </c>
      <c r="C350" s="82" t="s">
        <v>1378</v>
      </c>
      <c r="D350" s="82" t="s">
        <v>1379</v>
      </c>
      <c r="E350" s="82" t="s">
        <v>451</v>
      </c>
      <c r="F350" s="82"/>
      <c r="G350" s="112"/>
      <c r="H350" s="114" t="s">
        <v>17</v>
      </c>
      <c r="I350" s="84"/>
      <c r="J350" s="109" t="s">
        <v>33</v>
      </c>
    </row>
    <row r="351" spans="1:10" ht="72" customHeight="1">
      <c r="A351" s="109" t="s">
        <v>1380</v>
      </c>
      <c r="B351" s="82" t="s">
        <v>1377</v>
      </c>
      <c r="C351" s="82" t="s">
        <v>1381</v>
      </c>
      <c r="D351" s="82" t="s">
        <v>1382</v>
      </c>
      <c r="E351" s="82" t="s">
        <v>454</v>
      </c>
      <c r="F351" s="82"/>
      <c r="G351" s="112"/>
      <c r="H351" s="114" t="s">
        <v>17</v>
      </c>
      <c r="I351" s="84"/>
      <c r="J351" s="109" t="s">
        <v>41</v>
      </c>
    </row>
    <row r="352" spans="1:10" ht="72" customHeight="1">
      <c r="A352" s="109" t="s">
        <v>1383</v>
      </c>
      <c r="B352" s="82" t="s">
        <v>1377</v>
      </c>
      <c r="C352" s="82" t="s">
        <v>1384</v>
      </c>
      <c r="D352" s="82" t="s">
        <v>1385</v>
      </c>
      <c r="E352" s="82" t="s">
        <v>457</v>
      </c>
      <c r="F352" s="82"/>
      <c r="G352" s="112"/>
      <c r="H352" s="114" t="s">
        <v>17</v>
      </c>
      <c r="I352" s="84"/>
      <c r="J352" s="109" t="s">
        <v>35</v>
      </c>
    </row>
    <row r="353" spans="1:10" ht="72" customHeight="1">
      <c r="A353" s="109" t="s">
        <v>1386</v>
      </c>
      <c r="B353" s="82" t="s">
        <v>1377</v>
      </c>
      <c r="C353" s="82" t="s">
        <v>1387</v>
      </c>
      <c r="D353" s="82" t="s">
        <v>1388</v>
      </c>
      <c r="E353" s="82" t="s">
        <v>1389</v>
      </c>
      <c r="F353" s="82"/>
      <c r="G353" s="112"/>
      <c r="H353" s="114" t="s">
        <v>17</v>
      </c>
      <c r="I353" s="84"/>
      <c r="J353" s="109" t="s">
        <v>33</v>
      </c>
    </row>
    <row r="354" spans="1:10" ht="72" customHeight="1">
      <c r="A354" s="109" t="s">
        <v>1390</v>
      </c>
      <c r="B354" s="82" t="s">
        <v>1377</v>
      </c>
      <c r="C354" s="82" t="s">
        <v>1391</v>
      </c>
      <c r="D354" s="82" t="s">
        <v>1392</v>
      </c>
      <c r="E354" s="82" t="s">
        <v>466</v>
      </c>
      <c r="F354" s="82"/>
      <c r="G354" s="112"/>
      <c r="H354" s="114" t="s">
        <v>17</v>
      </c>
      <c r="I354" s="84"/>
      <c r="J354" s="109" t="s">
        <v>35</v>
      </c>
    </row>
    <row r="355" spans="1:10" ht="72" customHeight="1">
      <c r="A355" s="109" t="s">
        <v>1393</v>
      </c>
      <c r="B355" s="82" t="s">
        <v>1377</v>
      </c>
      <c r="C355" s="82" t="s">
        <v>1394</v>
      </c>
      <c r="D355" s="82" t="s">
        <v>1395</v>
      </c>
      <c r="E355" s="82" t="s">
        <v>469</v>
      </c>
      <c r="F355" s="82"/>
      <c r="G355" s="112"/>
      <c r="H355" s="114" t="s">
        <v>17</v>
      </c>
      <c r="I355" s="84"/>
      <c r="J355" s="109" t="s">
        <v>33</v>
      </c>
    </row>
    <row r="356" spans="1:10" ht="72" customHeight="1">
      <c r="A356" s="109" t="s">
        <v>1396</v>
      </c>
      <c r="B356" s="82" t="s">
        <v>1377</v>
      </c>
      <c r="C356" s="82" t="s">
        <v>1397</v>
      </c>
      <c r="D356" s="82" t="s">
        <v>1398</v>
      </c>
      <c r="E356" s="82" t="s">
        <v>472</v>
      </c>
      <c r="F356" s="82"/>
      <c r="G356" s="112"/>
      <c r="H356" s="114" t="s">
        <v>17</v>
      </c>
      <c r="I356" s="84"/>
      <c r="J356" s="109" t="s">
        <v>35</v>
      </c>
    </row>
    <row r="357" spans="1:10" ht="72" customHeight="1">
      <c r="A357" s="109" t="s">
        <v>1399</v>
      </c>
      <c r="B357" s="82" t="s">
        <v>1377</v>
      </c>
      <c r="C357" s="82" t="s">
        <v>1400</v>
      </c>
      <c r="D357" s="82" t="s">
        <v>1401</v>
      </c>
      <c r="E357" s="82" t="s">
        <v>982</v>
      </c>
      <c r="F357" s="82"/>
      <c r="G357" s="112"/>
      <c r="H357" s="114" t="s">
        <v>17</v>
      </c>
      <c r="I357" s="84"/>
      <c r="J357" s="109" t="s">
        <v>33</v>
      </c>
    </row>
    <row r="358" spans="1:10" ht="72" customHeight="1">
      <c r="A358" s="109" t="s">
        <v>1402</v>
      </c>
      <c r="B358" s="82" t="s">
        <v>1377</v>
      </c>
      <c r="C358" s="82" t="s">
        <v>1403</v>
      </c>
      <c r="D358" s="82" t="s">
        <v>1404</v>
      </c>
      <c r="E358" s="82" t="s">
        <v>1405</v>
      </c>
      <c r="F358" s="82"/>
      <c r="G358" s="112"/>
      <c r="H358" s="114" t="s">
        <v>17</v>
      </c>
      <c r="I358" s="84"/>
      <c r="J358" s="109" t="s">
        <v>35</v>
      </c>
    </row>
    <row r="359" spans="1:10" ht="72" customHeight="1">
      <c r="A359" s="109" t="s">
        <v>1406</v>
      </c>
      <c r="B359" s="82" t="s">
        <v>1377</v>
      </c>
      <c r="C359" s="82" t="s">
        <v>1407</v>
      </c>
      <c r="D359" s="82" t="s">
        <v>1408</v>
      </c>
      <c r="E359" s="82" t="s">
        <v>1409</v>
      </c>
      <c r="F359" s="82"/>
      <c r="G359" s="112"/>
      <c r="H359" s="114" t="s">
        <v>17</v>
      </c>
      <c r="I359" s="84"/>
      <c r="J359" s="109" t="s">
        <v>35</v>
      </c>
    </row>
    <row r="360" spans="1:10" ht="72" customHeight="1">
      <c r="A360" s="109" t="s">
        <v>1410</v>
      </c>
      <c r="B360" s="82" t="s">
        <v>1377</v>
      </c>
      <c r="C360" s="82" t="s">
        <v>1411</v>
      </c>
      <c r="D360" s="82" t="s">
        <v>1412</v>
      </c>
      <c r="E360" s="82" t="s">
        <v>1413</v>
      </c>
      <c r="F360" s="82"/>
      <c r="G360" s="112"/>
      <c r="H360" s="114" t="s">
        <v>17</v>
      </c>
      <c r="I360" s="84"/>
      <c r="J360" s="109" t="s">
        <v>35</v>
      </c>
    </row>
    <row r="361" spans="1:10" ht="72" customHeight="1">
      <c r="A361" s="109" t="s">
        <v>1414</v>
      </c>
      <c r="B361" s="82" t="s">
        <v>1415</v>
      </c>
      <c r="C361" s="82" t="s">
        <v>1416</v>
      </c>
      <c r="D361" s="82" t="s">
        <v>1417</v>
      </c>
      <c r="E361" s="82" t="s">
        <v>1418</v>
      </c>
      <c r="F361" s="82"/>
      <c r="G361" s="112"/>
      <c r="H361" s="114" t="s">
        <v>17</v>
      </c>
      <c r="I361" s="84"/>
      <c r="J361" s="109" t="s">
        <v>35</v>
      </c>
    </row>
    <row r="362" spans="1:10" ht="72" customHeight="1">
      <c r="A362" s="109" t="s">
        <v>1419</v>
      </c>
      <c r="B362" s="82" t="s">
        <v>1415</v>
      </c>
      <c r="C362" s="82" t="s">
        <v>1420</v>
      </c>
      <c r="D362" s="82" t="s">
        <v>1421</v>
      </c>
      <c r="E362" s="82" t="s">
        <v>1422</v>
      </c>
      <c r="F362" s="82"/>
      <c r="G362" s="112"/>
      <c r="H362" s="114" t="s">
        <v>17</v>
      </c>
      <c r="I362" s="84"/>
      <c r="J362" s="109" t="s">
        <v>35</v>
      </c>
    </row>
    <row r="363" spans="1:10" ht="72" customHeight="1">
      <c r="A363" s="109" t="s">
        <v>1423</v>
      </c>
      <c r="B363" s="82" t="s">
        <v>1415</v>
      </c>
      <c r="C363" s="82" t="s">
        <v>1424</v>
      </c>
      <c r="D363" s="82" t="s">
        <v>1425</v>
      </c>
      <c r="E363" s="82" t="s">
        <v>1426</v>
      </c>
      <c r="F363" s="82"/>
      <c r="G363" s="112"/>
      <c r="H363" s="114" t="s">
        <v>17</v>
      </c>
      <c r="I363" s="84"/>
      <c r="J363" s="109" t="s">
        <v>33</v>
      </c>
    </row>
    <row r="364" spans="1:10" ht="72" customHeight="1">
      <c r="A364" s="109" t="s">
        <v>1427</v>
      </c>
      <c r="B364" s="82" t="s">
        <v>1415</v>
      </c>
      <c r="C364" s="82" t="s">
        <v>1428</v>
      </c>
      <c r="D364" s="82" t="s">
        <v>1429</v>
      </c>
      <c r="E364" s="82" t="s">
        <v>1430</v>
      </c>
      <c r="F364" s="82"/>
      <c r="G364" s="112"/>
      <c r="H364" s="114" t="s">
        <v>17</v>
      </c>
      <c r="I364" s="84"/>
      <c r="J364" s="109" t="s">
        <v>35</v>
      </c>
    </row>
    <row r="365" spans="1:10" ht="72" customHeight="1">
      <c r="A365" s="109" t="s">
        <v>1431</v>
      </c>
      <c r="B365" s="82" t="s">
        <v>1415</v>
      </c>
      <c r="C365" s="82" t="s">
        <v>1432</v>
      </c>
      <c r="D365" s="82" t="s">
        <v>1433</v>
      </c>
      <c r="E365" s="82" t="s">
        <v>1434</v>
      </c>
      <c r="F365" s="82"/>
      <c r="G365" s="112"/>
      <c r="H365" s="114" t="s">
        <v>17</v>
      </c>
      <c r="I365" s="84"/>
      <c r="J365" s="109" t="s">
        <v>33</v>
      </c>
    </row>
    <row r="366" spans="1:10" ht="72" customHeight="1">
      <c r="A366" s="109" t="s">
        <v>1435</v>
      </c>
      <c r="B366" s="82" t="s">
        <v>1415</v>
      </c>
      <c r="C366" s="82" t="s">
        <v>1436</v>
      </c>
      <c r="D366" s="82" t="s">
        <v>1437</v>
      </c>
      <c r="E366" s="82" t="s">
        <v>1438</v>
      </c>
      <c r="F366" s="82"/>
      <c r="G366" s="112"/>
      <c r="H366" s="114" t="s">
        <v>17</v>
      </c>
      <c r="I366" s="84"/>
      <c r="J366" s="109" t="s">
        <v>35</v>
      </c>
    </row>
    <row r="367" spans="1:10" ht="72" customHeight="1">
      <c r="A367" s="109" t="s">
        <v>1439</v>
      </c>
      <c r="B367" s="82" t="s">
        <v>1415</v>
      </c>
      <c r="C367" s="82" t="s">
        <v>1440</v>
      </c>
      <c r="D367" s="82" t="s">
        <v>1441</v>
      </c>
      <c r="E367" s="82" t="s">
        <v>1442</v>
      </c>
      <c r="F367" s="82"/>
      <c r="G367" s="112"/>
      <c r="H367" s="114" t="s">
        <v>17</v>
      </c>
      <c r="I367" s="84"/>
      <c r="J367" s="109" t="s">
        <v>35</v>
      </c>
    </row>
    <row r="368" spans="1:10" ht="72" customHeight="1">
      <c r="A368" s="109" t="s">
        <v>1443</v>
      </c>
      <c r="B368" s="82" t="s">
        <v>1415</v>
      </c>
      <c r="C368" s="82" t="s">
        <v>1444</v>
      </c>
      <c r="D368" s="82" t="s">
        <v>1445</v>
      </c>
      <c r="E368" s="82" t="s">
        <v>1446</v>
      </c>
      <c r="F368" s="82"/>
      <c r="G368" s="112"/>
      <c r="H368" s="114" t="s">
        <v>17</v>
      </c>
      <c r="I368" s="84"/>
      <c r="J368" s="109" t="s">
        <v>35</v>
      </c>
    </row>
    <row r="369" spans="1:10" ht="72" customHeight="1">
      <c r="A369" s="109" t="s">
        <v>1447</v>
      </c>
      <c r="B369" s="82" t="s">
        <v>1448</v>
      </c>
      <c r="C369" s="82" t="s">
        <v>1449</v>
      </c>
      <c r="D369" s="82" t="s">
        <v>1450</v>
      </c>
      <c r="E369" s="82" t="s">
        <v>451</v>
      </c>
      <c r="F369" s="82"/>
      <c r="G369" s="112"/>
      <c r="H369" s="114" t="s">
        <v>17</v>
      </c>
      <c r="I369" s="84"/>
      <c r="J369" s="109" t="s">
        <v>33</v>
      </c>
    </row>
    <row r="370" spans="1:10" ht="72" customHeight="1">
      <c r="A370" s="109" t="s">
        <v>1451</v>
      </c>
      <c r="B370" s="82" t="s">
        <v>1448</v>
      </c>
      <c r="C370" s="82" t="s">
        <v>1452</v>
      </c>
      <c r="D370" s="82" t="s">
        <v>1453</v>
      </c>
      <c r="E370" s="82" t="s">
        <v>454</v>
      </c>
      <c r="F370" s="82"/>
      <c r="G370" s="112"/>
      <c r="H370" s="114" t="s">
        <v>17</v>
      </c>
      <c r="I370" s="84"/>
      <c r="J370" s="109" t="s">
        <v>41</v>
      </c>
    </row>
    <row r="371" spans="1:10" ht="72" customHeight="1">
      <c r="A371" s="109" t="s">
        <v>1454</v>
      </c>
      <c r="B371" s="82" t="s">
        <v>1448</v>
      </c>
      <c r="C371" s="82" t="s">
        <v>1455</v>
      </c>
      <c r="D371" s="82" t="s">
        <v>1456</v>
      </c>
      <c r="E371" s="82" t="s">
        <v>457</v>
      </c>
      <c r="F371" s="82"/>
      <c r="G371" s="112"/>
      <c r="H371" s="114" t="s">
        <v>17</v>
      </c>
      <c r="I371" s="84"/>
      <c r="J371" s="109" t="s">
        <v>35</v>
      </c>
    </row>
    <row r="372" spans="1:10" ht="72" customHeight="1">
      <c r="A372" s="109" t="s">
        <v>1457</v>
      </c>
      <c r="B372" s="82" t="s">
        <v>1448</v>
      </c>
      <c r="C372" s="82" t="s">
        <v>1458</v>
      </c>
      <c r="D372" s="82" t="s">
        <v>1459</v>
      </c>
      <c r="E372" s="82" t="s">
        <v>1460</v>
      </c>
      <c r="F372" s="82"/>
      <c r="G372" s="112"/>
      <c r="H372" s="114" t="s">
        <v>17</v>
      </c>
      <c r="I372" s="84"/>
      <c r="J372" s="109" t="s">
        <v>33</v>
      </c>
    </row>
    <row r="373" spans="1:10" ht="72" customHeight="1">
      <c r="A373" s="109" t="s">
        <v>1461</v>
      </c>
      <c r="B373" s="82" t="s">
        <v>1448</v>
      </c>
      <c r="C373" s="82" t="s">
        <v>1462</v>
      </c>
      <c r="D373" s="82" t="s">
        <v>1463</v>
      </c>
      <c r="E373" s="82" t="s">
        <v>1464</v>
      </c>
      <c r="F373" s="82"/>
      <c r="G373" s="112"/>
      <c r="H373" s="114" t="s">
        <v>17</v>
      </c>
      <c r="I373" s="84"/>
      <c r="J373" s="109" t="s">
        <v>33</v>
      </c>
    </row>
    <row r="374" spans="1:10" ht="72" customHeight="1">
      <c r="A374" s="109" t="s">
        <v>1465</v>
      </c>
      <c r="B374" s="82" t="s">
        <v>1448</v>
      </c>
      <c r="C374" s="82" t="s">
        <v>1466</v>
      </c>
      <c r="D374" s="82" t="s">
        <v>1467</v>
      </c>
      <c r="E374" s="82" t="s">
        <v>466</v>
      </c>
      <c r="F374" s="82"/>
      <c r="G374" s="112"/>
      <c r="H374" s="114" t="s">
        <v>17</v>
      </c>
      <c r="I374" s="84"/>
      <c r="J374" s="109" t="s">
        <v>35</v>
      </c>
    </row>
    <row r="375" spans="1:10" ht="72" customHeight="1">
      <c r="A375" s="109" t="s">
        <v>1468</v>
      </c>
      <c r="B375" s="82" t="s">
        <v>1448</v>
      </c>
      <c r="C375" s="82" t="s">
        <v>1469</v>
      </c>
      <c r="D375" s="82" t="s">
        <v>1470</v>
      </c>
      <c r="E375" s="82" t="s">
        <v>469</v>
      </c>
      <c r="F375" s="82"/>
      <c r="G375" s="112"/>
      <c r="H375" s="114" t="s">
        <v>17</v>
      </c>
      <c r="I375" s="84"/>
      <c r="J375" s="109" t="s">
        <v>33</v>
      </c>
    </row>
    <row r="376" spans="1:10" ht="72" customHeight="1">
      <c r="A376" s="109" t="s">
        <v>1471</v>
      </c>
      <c r="B376" s="82" t="s">
        <v>1448</v>
      </c>
      <c r="C376" s="82" t="s">
        <v>1472</v>
      </c>
      <c r="D376" s="82" t="s">
        <v>1473</v>
      </c>
      <c r="E376" s="82" t="s">
        <v>472</v>
      </c>
      <c r="F376" s="82"/>
      <c r="G376" s="112"/>
      <c r="H376" s="114" t="s">
        <v>17</v>
      </c>
      <c r="I376" s="84"/>
      <c r="J376" s="109" t="s">
        <v>35</v>
      </c>
    </row>
    <row r="377" spans="1:10" ht="72" customHeight="1">
      <c r="A377" s="109" t="s">
        <v>1474</v>
      </c>
      <c r="B377" s="82" t="s">
        <v>1448</v>
      </c>
      <c r="C377" s="82" t="s">
        <v>1475</v>
      </c>
      <c r="D377" s="82" t="s">
        <v>1476</v>
      </c>
      <c r="E377" s="82" t="s">
        <v>1477</v>
      </c>
      <c r="F377" s="82"/>
      <c r="G377" s="112"/>
      <c r="H377" s="114" t="s">
        <v>17</v>
      </c>
      <c r="I377" s="84"/>
      <c r="J377" s="109" t="s">
        <v>35</v>
      </c>
    </row>
    <row r="378" spans="1:10" ht="72" customHeight="1">
      <c r="A378" s="109" t="s">
        <v>1478</v>
      </c>
      <c r="B378" s="82" t="s">
        <v>1448</v>
      </c>
      <c r="C378" s="82" t="s">
        <v>1479</v>
      </c>
      <c r="D378" s="82" t="s">
        <v>1480</v>
      </c>
      <c r="E378" s="82" t="s">
        <v>451</v>
      </c>
      <c r="F378" s="82"/>
      <c r="G378" s="112"/>
      <c r="H378" s="114" t="s">
        <v>17</v>
      </c>
      <c r="I378" s="84"/>
      <c r="J378" s="109" t="s">
        <v>33</v>
      </c>
    </row>
    <row r="379" spans="1:10" ht="72" customHeight="1">
      <c r="A379" s="109" t="s">
        <v>1481</v>
      </c>
      <c r="B379" s="82" t="s">
        <v>1448</v>
      </c>
      <c r="C379" s="82" t="s">
        <v>1482</v>
      </c>
      <c r="D379" s="82" t="s">
        <v>1483</v>
      </c>
      <c r="E379" s="82" t="s">
        <v>454</v>
      </c>
      <c r="F379" s="82"/>
      <c r="G379" s="112"/>
      <c r="H379" s="114" t="s">
        <v>17</v>
      </c>
      <c r="I379" s="84"/>
      <c r="J379" s="109" t="s">
        <v>41</v>
      </c>
    </row>
    <row r="380" spans="1:10" ht="72" customHeight="1">
      <c r="A380" s="109" t="s">
        <v>1484</v>
      </c>
      <c r="B380" s="82" t="s">
        <v>1448</v>
      </c>
      <c r="C380" s="82" t="s">
        <v>1485</v>
      </c>
      <c r="D380" s="82" t="s">
        <v>1486</v>
      </c>
      <c r="E380" s="82" t="s">
        <v>457</v>
      </c>
      <c r="F380" s="82"/>
      <c r="G380" s="112"/>
      <c r="H380" s="114" t="s">
        <v>17</v>
      </c>
      <c r="I380" s="84"/>
      <c r="J380" s="109" t="s">
        <v>35</v>
      </c>
    </row>
    <row r="381" spans="1:10" ht="72" customHeight="1">
      <c r="A381" s="109" t="s">
        <v>1487</v>
      </c>
      <c r="B381" s="82" t="s">
        <v>1448</v>
      </c>
      <c r="C381" s="82" t="s">
        <v>1488</v>
      </c>
      <c r="D381" s="82" t="s">
        <v>1489</v>
      </c>
      <c r="E381" s="82" t="s">
        <v>1490</v>
      </c>
      <c r="F381" s="82"/>
      <c r="G381" s="112"/>
      <c r="H381" s="114" t="s">
        <v>17</v>
      </c>
      <c r="I381" s="84"/>
      <c r="J381" s="109" t="s">
        <v>33</v>
      </c>
    </row>
    <row r="382" spans="1:10" ht="72" customHeight="1">
      <c r="A382" s="109" t="s">
        <v>1491</v>
      </c>
      <c r="B382" s="82" t="s">
        <v>1448</v>
      </c>
      <c r="C382" s="82" t="s">
        <v>1492</v>
      </c>
      <c r="D382" s="82" t="s">
        <v>1493</v>
      </c>
      <c r="E382" s="82" t="s">
        <v>466</v>
      </c>
      <c r="F382" s="82"/>
      <c r="G382" s="112"/>
      <c r="H382" s="114" t="s">
        <v>17</v>
      </c>
      <c r="I382" s="84"/>
      <c r="J382" s="109" t="s">
        <v>35</v>
      </c>
    </row>
    <row r="383" spans="1:10" ht="72" customHeight="1">
      <c r="A383" s="109" t="s">
        <v>1494</v>
      </c>
      <c r="B383" s="82" t="s">
        <v>1448</v>
      </c>
      <c r="C383" s="82" t="s">
        <v>1495</v>
      </c>
      <c r="D383" s="82" t="s">
        <v>1496</v>
      </c>
      <c r="E383" s="82" t="s">
        <v>469</v>
      </c>
      <c r="F383" s="82"/>
      <c r="G383" s="112"/>
      <c r="H383" s="114" t="s">
        <v>17</v>
      </c>
      <c r="I383" s="84"/>
      <c r="J383" s="109" t="s">
        <v>33</v>
      </c>
    </row>
    <row r="384" spans="1:10" ht="72" customHeight="1">
      <c r="A384" s="109" t="s">
        <v>1497</v>
      </c>
      <c r="B384" s="82" t="s">
        <v>1448</v>
      </c>
      <c r="C384" s="82" t="s">
        <v>1498</v>
      </c>
      <c r="D384" s="82" t="s">
        <v>1499</v>
      </c>
      <c r="E384" s="82" t="s">
        <v>472</v>
      </c>
      <c r="F384" s="82"/>
      <c r="G384" s="112"/>
      <c r="H384" s="114" t="s">
        <v>17</v>
      </c>
      <c r="I384" s="84"/>
      <c r="J384" s="109" t="s">
        <v>35</v>
      </c>
    </row>
    <row r="385" spans="1:10" ht="72" customHeight="1">
      <c r="A385" s="109" t="s">
        <v>1500</v>
      </c>
      <c r="B385" s="82" t="s">
        <v>1448</v>
      </c>
      <c r="C385" s="82" t="s">
        <v>1501</v>
      </c>
      <c r="D385" s="82" t="s">
        <v>1502</v>
      </c>
      <c r="E385" s="82" t="s">
        <v>1503</v>
      </c>
      <c r="F385" s="82"/>
      <c r="G385" s="112"/>
      <c r="H385" s="114" t="s">
        <v>17</v>
      </c>
      <c r="I385" s="84"/>
      <c r="J385" s="109" t="s">
        <v>31</v>
      </c>
    </row>
    <row r="386" spans="1:10" ht="72" customHeight="1">
      <c r="A386" s="109" t="s">
        <v>1504</v>
      </c>
      <c r="B386" s="82" t="s">
        <v>1448</v>
      </c>
      <c r="C386" s="82" t="s">
        <v>1505</v>
      </c>
      <c r="D386" s="82" t="s">
        <v>1506</v>
      </c>
      <c r="E386" s="82" t="s">
        <v>1507</v>
      </c>
      <c r="F386" s="82"/>
      <c r="G386" s="112"/>
      <c r="H386" s="114" t="s">
        <v>17</v>
      </c>
      <c r="I386" s="84"/>
      <c r="J386" s="109" t="s">
        <v>35</v>
      </c>
    </row>
    <row r="387" spans="1:10" ht="72" customHeight="1">
      <c r="A387" s="109" t="s">
        <v>1508</v>
      </c>
      <c r="B387" s="82" t="s">
        <v>1448</v>
      </c>
      <c r="C387" s="82" t="s">
        <v>1509</v>
      </c>
      <c r="D387" s="82" t="s">
        <v>1510</v>
      </c>
      <c r="E387" s="82" t="s">
        <v>982</v>
      </c>
      <c r="F387" s="82"/>
      <c r="G387" s="112"/>
      <c r="H387" s="114" t="s">
        <v>17</v>
      </c>
      <c r="I387" s="84"/>
      <c r="J387" s="109" t="s">
        <v>31</v>
      </c>
    </row>
    <row r="388" spans="1:10" ht="72" customHeight="1">
      <c r="A388" s="109" t="s">
        <v>1511</v>
      </c>
      <c r="B388" s="82" t="s">
        <v>1512</v>
      </c>
      <c r="C388" s="82" t="s">
        <v>1513</v>
      </c>
      <c r="D388" s="82" t="s">
        <v>1514</v>
      </c>
      <c r="E388" s="82" t="s">
        <v>451</v>
      </c>
      <c r="F388" s="82"/>
      <c r="G388" s="112"/>
      <c r="H388" s="114" t="s">
        <v>17</v>
      </c>
      <c r="I388" s="84"/>
      <c r="J388" s="109" t="s">
        <v>33</v>
      </c>
    </row>
    <row r="389" spans="1:10" ht="72" customHeight="1">
      <c r="A389" s="109" t="s">
        <v>1515</v>
      </c>
      <c r="B389" s="82" t="s">
        <v>1512</v>
      </c>
      <c r="C389" s="82" t="s">
        <v>1516</v>
      </c>
      <c r="D389" s="82" t="s">
        <v>1517</v>
      </c>
      <c r="E389" s="82" t="s">
        <v>454</v>
      </c>
      <c r="F389" s="82"/>
      <c r="G389" s="112"/>
      <c r="H389" s="114" t="s">
        <v>17</v>
      </c>
      <c r="I389" s="84"/>
      <c r="J389" s="109" t="s">
        <v>41</v>
      </c>
    </row>
    <row r="390" spans="1:10" ht="72" customHeight="1">
      <c r="A390" s="109" t="s">
        <v>1518</v>
      </c>
      <c r="B390" s="82" t="s">
        <v>1512</v>
      </c>
      <c r="C390" s="82" t="s">
        <v>1519</v>
      </c>
      <c r="D390" s="82" t="s">
        <v>1520</v>
      </c>
      <c r="E390" s="82" t="s">
        <v>457</v>
      </c>
      <c r="F390" s="82"/>
      <c r="G390" s="112"/>
      <c r="H390" s="114" t="s">
        <v>17</v>
      </c>
      <c r="I390" s="84"/>
      <c r="J390" s="109" t="s">
        <v>35</v>
      </c>
    </row>
    <row r="391" spans="1:10" ht="72" customHeight="1">
      <c r="A391" s="109" t="s">
        <v>1521</v>
      </c>
      <c r="B391" s="82" t="s">
        <v>1512</v>
      </c>
      <c r="C391" s="82" t="s">
        <v>1522</v>
      </c>
      <c r="D391" s="82" t="s">
        <v>1523</v>
      </c>
      <c r="E391" s="82" t="s">
        <v>1524</v>
      </c>
      <c r="F391" s="82"/>
      <c r="G391" s="112"/>
      <c r="H391" s="114" t="s">
        <v>17</v>
      </c>
      <c r="I391" s="84"/>
      <c r="J391" s="109" t="s">
        <v>33</v>
      </c>
    </row>
    <row r="392" spans="1:10" ht="72" customHeight="1">
      <c r="A392" s="109" t="s">
        <v>1525</v>
      </c>
      <c r="B392" s="82" t="s">
        <v>1512</v>
      </c>
      <c r="C392" s="82" t="s">
        <v>1526</v>
      </c>
      <c r="D392" s="82" t="s">
        <v>1527</v>
      </c>
      <c r="E392" s="82" t="s">
        <v>466</v>
      </c>
      <c r="F392" s="82"/>
      <c r="G392" s="112"/>
      <c r="H392" s="114" t="s">
        <v>17</v>
      </c>
      <c r="I392" s="84"/>
      <c r="J392" s="109" t="s">
        <v>35</v>
      </c>
    </row>
    <row r="393" spans="1:10" ht="72" customHeight="1">
      <c r="A393" s="109" t="s">
        <v>1528</v>
      </c>
      <c r="B393" s="82" t="s">
        <v>1512</v>
      </c>
      <c r="C393" s="82" t="s">
        <v>1529</v>
      </c>
      <c r="D393" s="82" t="s">
        <v>1530</v>
      </c>
      <c r="E393" s="82" t="s">
        <v>469</v>
      </c>
      <c r="F393" s="82"/>
      <c r="G393" s="112"/>
      <c r="H393" s="114" t="s">
        <v>17</v>
      </c>
      <c r="I393" s="84"/>
      <c r="J393" s="109" t="s">
        <v>33</v>
      </c>
    </row>
    <row r="394" spans="1:10" ht="72" customHeight="1">
      <c r="A394" s="109" t="s">
        <v>1531</v>
      </c>
      <c r="B394" s="82" t="s">
        <v>1512</v>
      </c>
      <c r="C394" s="82" t="s">
        <v>1532</v>
      </c>
      <c r="D394" s="82" t="s">
        <v>1533</v>
      </c>
      <c r="E394" s="82" t="s">
        <v>472</v>
      </c>
      <c r="F394" s="82"/>
      <c r="G394" s="112"/>
      <c r="H394" s="114" t="s">
        <v>17</v>
      </c>
      <c r="I394" s="84"/>
      <c r="J394" s="109" t="s">
        <v>35</v>
      </c>
    </row>
    <row r="395" spans="1:10" ht="72" customHeight="1">
      <c r="A395" s="109" t="s">
        <v>1534</v>
      </c>
      <c r="B395" s="82" t="s">
        <v>1512</v>
      </c>
      <c r="C395" s="82" t="s">
        <v>1535</v>
      </c>
      <c r="D395" s="82" t="s">
        <v>1536</v>
      </c>
      <c r="E395" s="82" t="s">
        <v>1537</v>
      </c>
      <c r="F395" s="82"/>
      <c r="G395" s="112"/>
      <c r="H395" s="114" t="s">
        <v>17</v>
      </c>
      <c r="I395" s="84"/>
      <c r="J395" s="109" t="s">
        <v>35</v>
      </c>
    </row>
    <row r="396" spans="1:10" ht="72" customHeight="1">
      <c r="A396" s="109" t="s">
        <v>1538</v>
      </c>
      <c r="B396" s="82" t="s">
        <v>1512</v>
      </c>
      <c r="C396" s="82" t="s">
        <v>1539</v>
      </c>
      <c r="D396" s="82" t="s">
        <v>1540</v>
      </c>
      <c r="E396" s="82" t="s">
        <v>1541</v>
      </c>
      <c r="F396" s="82"/>
      <c r="G396" s="112"/>
      <c r="H396" s="114" t="s">
        <v>17</v>
      </c>
      <c r="I396" s="84"/>
      <c r="J396" s="109" t="s">
        <v>33</v>
      </c>
    </row>
    <row r="397" spans="1:10" ht="72" customHeight="1">
      <c r="A397" s="109" t="s">
        <v>1542</v>
      </c>
      <c r="B397" s="82" t="s">
        <v>1512</v>
      </c>
      <c r="C397" s="82" t="s">
        <v>1543</v>
      </c>
      <c r="D397" s="82" t="s">
        <v>1544</v>
      </c>
      <c r="E397" s="82" t="s">
        <v>451</v>
      </c>
      <c r="F397" s="82"/>
      <c r="G397" s="112"/>
      <c r="H397" s="114" t="s">
        <v>17</v>
      </c>
      <c r="I397" s="84"/>
      <c r="J397" s="109" t="s">
        <v>33</v>
      </c>
    </row>
    <row r="398" spans="1:10" ht="72" customHeight="1">
      <c r="A398" s="109" t="s">
        <v>1545</v>
      </c>
      <c r="B398" s="82" t="s">
        <v>1512</v>
      </c>
      <c r="C398" s="82" t="s">
        <v>1546</v>
      </c>
      <c r="D398" s="82" t="s">
        <v>1547</v>
      </c>
      <c r="E398" s="82" t="s">
        <v>454</v>
      </c>
      <c r="F398" s="82"/>
      <c r="G398" s="112"/>
      <c r="H398" s="114" t="s">
        <v>17</v>
      </c>
      <c r="I398" s="84"/>
      <c r="J398" s="109" t="s">
        <v>41</v>
      </c>
    </row>
    <row r="399" spans="1:10" ht="72" customHeight="1">
      <c r="A399" s="109" t="s">
        <v>1548</v>
      </c>
      <c r="B399" s="82" t="s">
        <v>1512</v>
      </c>
      <c r="C399" s="82" t="s">
        <v>1549</v>
      </c>
      <c r="D399" s="82" t="s">
        <v>1550</v>
      </c>
      <c r="E399" s="82" t="s">
        <v>457</v>
      </c>
      <c r="F399" s="82"/>
      <c r="G399" s="112"/>
      <c r="H399" s="114" t="s">
        <v>17</v>
      </c>
      <c r="I399" s="84"/>
      <c r="J399" s="109" t="s">
        <v>35</v>
      </c>
    </row>
    <row r="400" spans="1:10" ht="72" customHeight="1">
      <c r="A400" s="109" t="s">
        <v>1551</v>
      </c>
      <c r="B400" s="82" t="s">
        <v>1512</v>
      </c>
      <c r="C400" s="82" t="s">
        <v>1552</v>
      </c>
      <c r="D400" s="82" t="s">
        <v>1523</v>
      </c>
      <c r="E400" s="82" t="s">
        <v>1524</v>
      </c>
      <c r="F400" s="82"/>
      <c r="G400" s="112"/>
      <c r="H400" s="114" t="s">
        <v>17</v>
      </c>
      <c r="I400" s="84"/>
      <c r="J400" s="109" t="s">
        <v>33</v>
      </c>
    </row>
    <row r="401" spans="1:10" ht="72" customHeight="1">
      <c r="A401" s="109" t="s">
        <v>1553</v>
      </c>
      <c r="B401" s="82" t="s">
        <v>1512</v>
      </c>
      <c r="C401" s="82" t="s">
        <v>1554</v>
      </c>
      <c r="D401" s="82" t="s">
        <v>1555</v>
      </c>
      <c r="E401" s="82" t="s">
        <v>466</v>
      </c>
      <c r="F401" s="82"/>
      <c r="G401" s="112"/>
      <c r="H401" s="114" t="s">
        <v>17</v>
      </c>
      <c r="I401" s="84"/>
      <c r="J401" s="109" t="s">
        <v>35</v>
      </c>
    </row>
    <row r="402" spans="1:10" ht="72" customHeight="1">
      <c r="A402" s="109" t="s">
        <v>1556</v>
      </c>
      <c r="B402" s="82" t="s">
        <v>1512</v>
      </c>
      <c r="C402" s="82" t="s">
        <v>1557</v>
      </c>
      <c r="D402" s="82" t="s">
        <v>1558</v>
      </c>
      <c r="E402" s="82" t="s">
        <v>469</v>
      </c>
      <c r="F402" s="82"/>
      <c r="G402" s="112"/>
      <c r="H402" s="114" t="s">
        <v>17</v>
      </c>
      <c r="I402" s="84"/>
      <c r="J402" s="109" t="s">
        <v>33</v>
      </c>
    </row>
    <row r="403" spans="1:10" ht="72" customHeight="1">
      <c r="A403" s="109" t="s">
        <v>1559</v>
      </c>
      <c r="B403" s="82" t="s">
        <v>1512</v>
      </c>
      <c r="C403" s="82" t="s">
        <v>1560</v>
      </c>
      <c r="D403" s="82" t="s">
        <v>1561</v>
      </c>
      <c r="E403" s="82" t="s">
        <v>472</v>
      </c>
      <c r="F403" s="82"/>
      <c r="G403" s="112"/>
      <c r="H403" s="114" t="s">
        <v>17</v>
      </c>
      <c r="I403" s="84"/>
      <c r="J403" s="109" t="s">
        <v>35</v>
      </c>
    </row>
    <row r="404" spans="1:10" ht="72" customHeight="1">
      <c r="A404" s="109" t="s">
        <v>1562</v>
      </c>
      <c r="B404" s="82" t="s">
        <v>1512</v>
      </c>
      <c r="C404" s="82" t="s">
        <v>1563</v>
      </c>
      <c r="D404" s="82" t="s">
        <v>1564</v>
      </c>
      <c r="E404" s="82" t="s">
        <v>1565</v>
      </c>
      <c r="F404" s="82"/>
      <c r="G404" s="112"/>
      <c r="H404" s="114" t="s">
        <v>17</v>
      </c>
      <c r="I404" s="84"/>
      <c r="J404" s="109" t="s">
        <v>35</v>
      </c>
    </row>
    <row r="405" spans="1:10" ht="72" customHeight="1">
      <c r="A405" s="109" t="s">
        <v>1566</v>
      </c>
      <c r="B405" s="82" t="s">
        <v>1512</v>
      </c>
      <c r="C405" s="82" t="s">
        <v>1567</v>
      </c>
      <c r="D405" s="82" t="s">
        <v>1568</v>
      </c>
      <c r="E405" s="82" t="s">
        <v>1569</v>
      </c>
      <c r="F405" s="82"/>
      <c r="G405" s="112"/>
      <c r="H405" s="114" t="s">
        <v>17</v>
      </c>
      <c r="I405" s="84"/>
      <c r="J405" s="109" t="s">
        <v>35</v>
      </c>
    </row>
    <row r="406" spans="1:10" ht="72" customHeight="1">
      <c r="A406" s="109" t="s">
        <v>1570</v>
      </c>
      <c r="B406" s="82" t="s">
        <v>1571</v>
      </c>
      <c r="C406" s="82" t="s">
        <v>1572</v>
      </c>
      <c r="D406" s="82" t="s">
        <v>1573</v>
      </c>
      <c r="E406" s="82" t="s">
        <v>1574</v>
      </c>
      <c r="F406" s="82"/>
      <c r="G406" s="112"/>
      <c r="H406" s="114" t="s">
        <v>17</v>
      </c>
      <c r="I406" s="84"/>
      <c r="J406" s="109" t="s">
        <v>35</v>
      </c>
    </row>
    <row r="407" spans="1:10" ht="72" customHeight="1">
      <c r="A407" s="109" t="s">
        <v>1575</v>
      </c>
      <c r="B407" s="82" t="s">
        <v>1571</v>
      </c>
      <c r="C407" s="82" t="s">
        <v>1576</v>
      </c>
      <c r="D407" s="82" t="s">
        <v>1577</v>
      </c>
      <c r="E407" s="82" t="s">
        <v>1578</v>
      </c>
      <c r="F407" s="82"/>
      <c r="G407" s="112"/>
      <c r="H407" s="114" t="s">
        <v>17</v>
      </c>
      <c r="I407" s="84"/>
      <c r="J407" s="109" t="s">
        <v>33</v>
      </c>
    </row>
    <row r="408" spans="1:10" ht="72" customHeight="1">
      <c r="A408" s="109" t="s">
        <v>1579</v>
      </c>
      <c r="B408" s="82" t="s">
        <v>1571</v>
      </c>
      <c r="C408" s="82" t="s">
        <v>1580</v>
      </c>
      <c r="D408" s="82" t="s">
        <v>1581</v>
      </c>
      <c r="E408" s="82" t="s">
        <v>1582</v>
      </c>
      <c r="F408" s="82"/>
      <c r="G408" s="112"/>
      <c r="H408" s="114" t="s">
        <v>17</v>
      </c>
      <c r="I408" s="84"/>
      <c r="J408" s="109" t="s">
        <v>33</v>
      </c>
    </row>
    <row r="409" spans="1:10" ht="72" customHeight="1">
      <c r="A409" s="109" t="s">
        <v>1583</v>
      </c>
      <c r="B409" s="82" t="s">
        <v>1571</v>
      </c>
      <c r="C409" s="82" t="s">
        <v>1584</v>
      </c>
      <c r="D409" s="82" t="s">
        <v>1585</v>
      </c>
      <c r="E409" s="82" t="s">
        <v>1586</v>
      </c>
      <c r="F409" s="82"/>
      <c r="G409" s="112"/>
      <c r="H409" s="114" t="s">
        <v>17</v>
      </c>
      <c r="I409" s="84"/>
      <c r="J409" s="109" t="s">
        <v>31</v>
      </c>
    </row>
    <row r="410" spans="1:10" ht="72" customHeight="1">
      <c r="A410" s="109" t="s">
        <v>1587</v>
      </c>
      <c r="B410" s="82" t="s">
        <v>1588</v>
      </c>
      <c r="C410" s="82" t="s">
        <v>1589</v>
      </c>
      <c r="D410" s="82" t="s">
        <v>1590</v>
      </c>
      <c r="E410" s="82" t="s">
        <v>1591</v>
      </c>
      <c r="F410" s="82"/>
      <c r="G410" s="112"/>
      <c r="H410" s="114" t="s">
        <v>17</v>
      </c>
      <c r="I410" s="84"/>
      <c r="J410" s="109" t="s">
        <v>35</v>
      </c>
    </row>
    <row r="411" spans="1:10" ht="72" customHeight="1">
      <c r="A411" s="109" t="s">
        <v>1592</v>
      </c>
      <c r="B411" s="82" t="s">
        <v>1588</v>
      </c>
      <c r="C411" s="82" t="s">
        <v>1593</v>
      </c>
      <c r="D411" s="82" t="s">
        <v>1594</v>
      </c>
      <c r="E411" s="82" t="s">
        <v>1595</v>
      </c>
      <c r="F411" s="82" t="s">
        <v>1961</v>
      </c>
      <c r="G411" s="112" t="s">
        <v>370</v>
      </c>
      <c r="H411" s="144" t="s">
        <v>16</v>
      </c>
      <c r="I411" s="84" t="s">
        <v>1904</v>
      </c>
      <c r="J411" s="109" t="s">
        <v>31</v>
      </c>
    </row>
    <row r="412" spans="1:10" ht="72" customHeight="1">
      <c r="A412" s="109" t="s">
        <v>1596</v>
      </c>
      <c r="B412" s="82" t="s">
        <v>1588</v>
      </c>
      <c r="C412" s="82" t="s">
        <v>1597</v>
      </c>
      <c r="D412" s="82" t="s">
        <v>1598</v>
      </c>
      <c r="E412" s="82" t="s">
        <v>1599</v>
      </c>
      <c r="F412" s="82" t="s">
        <v>1962</v>
      </c>
      <c r="G412" s="112" t="s">
        <v>370</v>
      </c>
      <c r="H412" s="144" t="s">
        <v>16</v>
      </c>
      <c r="I412" s="84" t="s">
        <v>1904</v>
      </c>
      <c r="J412" s="109" t="s">
        <v>35</v>
      </c>
    </row>
    <row r="413" spans="1:10" ht="72" customHeight="1">
      <c r="A413" s="109" t="s">
        <v>1600</v>
      </c>
      <c r="B413" s="82" t="s">
        <v>1588</v>
      </c>
      <c r="C413" s="82" t="s">
        <v>1601</v>
      </c>
      <c r="D413" s="82" t="s">
        <v>1602</v>
      </c>
      <c r="E413" s="82" t="s">
        <v>1603</v>
      </c>
      <c r="F413" s="82" t="s">
        <v>1963</v>
      </c>
      <c r="G413" s="112" t="s">
        <v>370</v>
      </c>
      <c r="H413" s="144" t="s">
        <v>16</v>
      </c>
      <c r="I413" s="84" t="s">
        <v>1904</v>
      </c>
      <c r="J413" s="109" t="s">
        <v>31</v>
      </c>
    </row>
    <row r="414" spans="1:10" ht="72" customHeight="1">
      <c r="A414" s="109" t="s">
        <v>1604</v>
      </c>
      <c r="B414" s="82" t="s">
        <v>1588</v>
      </c>
      <c r="C414" s="82" t="s">
        <v>1605</v>
      </c>
      <c r="D414" s="82" t="s">
        <v>1606</v>
      </c>
      <c r="E414" s="82" t="s">
        <v>1607</v>
      </c>
      <c r="F414" s="82"/>
      <c r="G414" s="112"/>
      <c r="H414" s="114" t="s">
        <v>17</v>
      </c>
      <c r="I414" s="84"/>
      <c r="J414" s="109" t="s">
        <v>35</v>
      </c>
    </row>
    <row r="415" spans="1:10" ht="72" customHeight="1">
      <c r="A415" s="109" t="s">
        <v>1608</v>
      </c>
      <c r="B415" s="82" t="s">
        <v>1588</v>
      </c>
      <c r="C415" s="82" t="s">
        <v>1609</v>
      </c>
      <c r="D415" s="82" t="s">
        <v>1610</v>
      </c>
      <c r="E415" s="82" t="s">
        <v>1611</v>
      </c>
      <c r="F415" s="82" t="s">
        <v>1964</v>
      </c>
      <c r="G415" s="112" t="s">
        <v>370</v>
      </c>
      <c r="H415" s="144" t="s">
        <v>16</v>
      </c>
      <c r="I415" s="84" t="s">
        <v>1904</v>
      </c>
      <c r="J415" s="109" t="s">
        <v>35</v>
      </c>
    </row>
    <row r="416" spans="1:10" ht="72" customHeight="1">
      <c r="A416" s="109" t="s">
        <v>1612</v>
      </c>
      <c r="B416" s="82" t="s">
        <v>1613</v>
      </c>
      <c r="C416" s="82" t="s">
        <v>1614</v>
      </c>
      <c r="D416" s="82" t="s">
        <v>1615</v>
      </c>
      <c r="E416" s="82" t="s">
        <v>1616</v>
      </c>
      <c r="F416" s="82"/>
      <c r="G416" s="112"/>
      <c r="H416" s="114" t="s">
        <v>17</v>
      </c>
      <c r="I416" s="84"/>
      <c r="J416" s="109" t="s">
        <v>35</v>
      </c>
    </row>
    <row r="417" spans="1:10" ht="72" customHeight="1">
      <c r="A417" s="109" t="s">
        <v>1617</v>
      </c>
      <c r="B417" s="82" t="s">
        <v>1613</v>
      </c>
      <c r="C417" s="82" t="s">
        <v>201</v>
      </c>
      <c r="D417" s="82" t="s">
        <v>1618</v>
      </c>
      <c r="E417" s="82" t="s">
        <v>1619</v>
      </c>
      <c r="F417" s="82"/>
      <c r="G417" s="112"/>
      <c r="H417" s="114" t="s">
        <v>17</v>
      </c>
      <c r="I417" s="84"/>
      <c r="J417" s="109" t="s">
        <v>31</v>
      </c>
    </row>
    <row r="418" spans="1:10" ht="72" customHeight="1">
      <c r="A418" s="109" t="s">
        <v>1620</v>
      </c>
      <c r="B418" s="82" t="s">
        <v>1613</v>
      </c>
      <c r="C418" s="82" t="s">
        <v>1621</v>
      </c>
      <c r="D418" s="82" t="s">
        <v>1622</v>
      </c>
      <c r="E418" s="82" t="s">
        <v>982</v>
      </c>
      <c r="F418" s="82"/>
      <c r="G418" s="112"/>
      <c r="H418" s="114" t="s">
        <v>17</v>
      </c>
      <c r="I418" s="84"/>
      <c r="J418" s="109" t="s">
        <v>35</v>
      </c>
    </row>
    <row r="419" spans="1:10" ht="72" customHeight="1">
      <c r="A419" s="109" t="s">
        <v>1623</v>
      </c>
      <c r="B419" s="82" t="s">
        <v>1613</v>
      </c>
      <c r="C419" s="82" t="s">
        <v>1624</v>
      </c>
      <c r="D419" s="82" t="s">
        <v>1625</v>
      </c>
      <c r="E419" s="82" t="s">
        <v>1626</v>
      </c>
      <c r="F419" s="82"/>
      <c r="G419" s="112"/>
      <c r="H419" s="114" t="s">
        <v>17</v>
      </c>
      <c r="I419" s="84"/>
      <c r="J419" s="109" t="s">
        <v>35</v>
      </c>
    </row>
    <row r="420" spans="1:10" ht="72" customHeight="1">
      <c r="A420" s="109" t="s">
        <v>1627</v>
      </c>
      <c r="B420" s="82" t="s">
        <v>1613</v>
      </c>
      <c r="C420" s="82" t="s">
        <v>1628</v>
      </c>
      <c r="D420" s="82" t="s">
        <v>1629</v>
      </c>
      <c r="E420" s="82" t="s">
        <v>1630</v>
      </c>
      <c r="F420" s="82"/>
      <c r="G420" s="112"/>
      <c r="H420" s="114" t="s">
        <v>17</v>
      </c>
      <c r="I420" s="84"/>
      <c r="J420" s="109" t="s">
        <v>35</v>
      </c>
    </row>
    <row r="421" spans="1:10" ht="72" customHeight="1">
      <c r="A421" s="109" t="s">
        <v>1631</v>
      </c>
      <c r="B421" s="82" t="s">
        <v>1613</v>
      </c>
      <c r="C421" s="82" t="s">
        <v>1632</v>
      </c>
      <c r="D421" s="82" t="s">
        <v>1633</v>
      </c>
      <c r="E421" s="82" t="s">
        <v>1634</v>
      </c>
      <c r="F421" s="82"/>
      <c r="G421" s="112"/>
      <c r="H421" s="114" t="s">
        <v>17</v>
      </c>
      <c r="I421" s="84"/>
      <c r="J421" s="109" t="s">
        <v>35</v>
      </c>
    </row>
    <row r="422" spans="1:10" ht="72" customHeight="1">
      <c r="A422" s="109" t="s">
        <v>1635</v>
      </c>
      <c r="B422" s="82" t="s">
        <v>1613</v>
      </c>
      <c r="C422" s="82" t="s">
        <v>1636</v>
      </c>
      <c r="D422" s="82" t="s">
        <v>1637</v>
      </c>
      <c r="E422" s="82" t="s">
        <v>1638</v>
      </c>
      <c r="F422" s="82"/>
      <c r="G422" s="112"/>
      <c r="H422" s="114" t="s">
        <v>17</v>
      </c>
      <c r="I422" s="84"/>
      <c r="J422" s="109" t="s">
        <v>31</v>
      </c>
    </row>
    <row r="423" spans="1:10" ht="72" customHeight="1">
      <c r="A423" s="109" t="s">
        <v>1639</v>
      </c>
      <c r="B423" s="82" t="s">
        <v>1613</v>
      </c>
      <c r="C423" s="82" t="s">
        <v>1640</v>
      </c>
      <c r="D423" s="82" t="s">
        <v>1641</v>
      </c>
      <c r="E423" s="82" t="s">
        <v>1642</v>
      </c>
      <c r="F423" s="82"/>
      <c r="G423" s="112"/>
      <c r="H423" s="114" t="s">
        <v>17</v>
      </c>
      <c r="I423" s="84"/>
      <c r="J423" s="109" t="s">
        <v>31</v>
      </c>
    </row>
    <row r="424" spans="1:10" ht="72" customHeight="1">
      <c r="A424" s="109" t="s">
        <v>1643</v>
      </c>
      <c r="B424" s="82" t="s">
        <v>1613</v>
      </c>
      <c r="C424" s="82" t="s">
        <v>1644</v>
      </c>
      <c r="D424" s="82" t="s">
        <v>1645</v>
      </c>
      <c r="E424" s="82" t="s">
        <v>1646</v>
      </c>
      <c r="F424" s="82"/>
      <c r="G424" s="112"/>
      <c r="H424" s="114" t="s">
        <v>17</v>
      </c>
      <c r="I424" s="84"/>
      <c r="J424" s="109" t="s">
        <v>31</v>
      </c>
    </row>
    <row r="425" spans="1:10" ht="72" customHeight="1">
      <c r="A425" s="109" t="s">
        <v>1647</v>
      </c>
      <c r="B425" s="82" t="s">
        <v>1613</v>
      </c>
      <c r="C425" s="82" t="s">
        <v>209</v>
      </c>
      <c r="D425" s="82" t="s">
        <v>1648</v>
      </c>
      <c r="E425" s="82" t="s">
        <v>1649</v>
      </c>
      <c r="F425" s="82"/>
      <c r="G425" s="112"/>
      <c r="H425" s="114" t="s">
        <v>17</v>
      </c>
      <c r="I425" s="84"/>
      <c r="J425" s="109" t="s">
        <v>35</v>
      </c>
    </row>
    <row r="426" spans="1:10" ht="72" customHeight="1">
      <c r="A426" s="109" t="s">
        <v>1650</v>
      </c>
      <c r="B426" s="82" t="s">
        <v>1613</v>
      </c>
      <c r="C426" s="82" t="s">
        <v>1651</v>
      </c>
      <c r="D426" s="82" t="s">
        <v>1652</v>
      </c>
      <c r="E426" s="82" t="s">
        <v>1653</v>
      </c>
      <c r="F426" s="82"/>
      <c r="G426" s="112"/>
      <c r="H426" s="114" t="s">
        <v>17</v>
      </c>
      <c r="I426" s="84"/>
      <c r="J426" s="109" t="s">
        <v>35</v>
      </c>
    </row>
    <row r="427" spans="1:10" ht="72" customHeight="1">
      <c r="A427" s="109" t="s">
        <v>1654</v>
      </c>
      <c r="B427" s="82" t="s">
        <v>1613</v>
      </c>
      <c r="C427" s="82" t="s">
        <v>1655</v>
      </c>
      <c r="D427" s="82" t="s">
        <v>1656</v>
      </c>
      <c r="E427" s="82" t="s">
        <v>1657</v>
      </c>
      <c r="F427" s="82"/>
      <c r="G427" s="112"/>
      <c r="H427" s="114" t="s">
        <v>17</v>
      </c>
      <c r="I427" s="84"/>
      <c r="J427" s="109" t="s">
        <v>31</v>
      </c>
    </row>
    <row r="428" spans="1:10" ht="72" customHeight="1">
      <c r="A428" s="109" t="s">
        <v>1658</v>
      </c>
      <c r="B428" s="82" t="s">
        <v>1659</v>
      </c>
      <c r="C428" s="82" t="s">
        <v>1660</v>
      </c>
      <c r="D428" s="82" t="s">
        <v>1661</v>
      </c>
      <c r="E428" s="82" t="s">
        <v>1662</v>
      </c>
      <c r="F428" s="82"/>
      <c r="G428" s="112"/>
      <c r="H428" s="114" t="s">
        <v>17</v>
      </c>
      <c r="I428" s="84"/>
      <c r="J428" s="109" t="s">
        <v>35</v>
      </c>
    </row>
    <row r="429" spans="1:10" ht="72" customHeight="1">
      <c r="A429" s="109" t="s">
        <v>1663</v>
      </c>
      <c r="B429" s="82" t="s">
        <v>1659</v>
      </c>
      <c r="C429" s="82" t="s">
        <v>1664</v>
      </c>
      <c r="D429" s="82" t="s">
        <v>1665</v>
      </c>
      <c r="E429" s="82" t="s">
        <v>1666</v>
      </c>
      <c r="F429" s="82"/>
      <c r="G429" s="112"/>
      <c r="H429" s="114" t="s">
        <v>17</v>
      </c>
      <c r="I429" s="84"/>
      <c r="J429" s="109" t="s">
        <v>35</v>
      </c>
    </row>
    <row r="430" spans="1:10" ht="72" customHeight="1">
      <c r="A430" s="109" t="s">
        <v>1667</v>
      </c>
      <c r="B430" s="82" t="s">
        <v>1659</v>
      </c>
      <c r="C430" s="82" t="s">
        <v>1668</v>
      </c>
      <c r="D430" s="82" t="s">
        <v>1669</v>
      </c>
      <c r="E430" s="82" t="s">
        <v>1670</v>
      </c>
      <c r="F430" s="82"/>
      <c r="G430" s="112"/>
      <c r="H430" s="114" t="s">
        <v>17</v>
      </c>
      <c r="I430" s="84"/>
      <c r="J430" s="109" t="s">
        <v>31</v>
      </c>
    </row>
    <row r="431" spans="1:10" ht="72" customHeight="1">
      <c r="A431" s="109" t="s">
        <v>1671</v>
      </c>
      <c r="B431" s="82" t="s">
        <v>1659</v>
      </c>
      <c r="C431" s="82" t="s">
        <v>1672</v>
      </c>
      <c r="D431" s="82" t="s">
        <v>1673</v>
      </c>
      <c r="E431" s="82" t="s">
        <v>1674</v>
      </c>
      <c r="F431" s="82"/>
      <c r="G431" s="112"/>
      <c r="H431" s="114" t="s">
        <v>17</v>
      </c>
      <c r="I431" s="84"/>
      <c r="J431" s="109" t="s">
        <v>35</v>
      </c>
    </row>
    <row r="432" spans="1:10" ht="72" customHeight="1">
      <c r="A432" s="109" t="s">
        <v>1675</v>
      </c>
      <c r="B432" s="82" t="s">
        <v>1659</v>
      </c>
      <c r="C432" s="82" t="s">
        <v>1676</v>
      </c>
      <c r="D432" s="82" t="s">
        <v>1677</v>
      </c>
      <c r="E432" s="82" t="s">
        <v>1678</v>
      </c>
      <c r="F432" s="82"/>
      <c r="G432" s="112"/>
      <c r="H432" s="114" t="s">
        <v>17</v>
      </c>
      <c r="I432" s="84"/>
      <c r="J432" s="109" t="s">
        <v>31</v>
      </c>
    </row>
    <row r="433" spans="1:10" ht="72" customHeight="1">
      <c r="A433" s="109" t="s">
        <v>1679</v>
      </c>
      <c r="B433" s="82" t="s">
        <v>1659</v>
      </c>
      <c r="C433" s="82" t="s">
        <v>1680</v>
      </c>
      <c r="D433" s="82" t="s">
        <v>1681</v>
      </c>
      <c r="E433" s="82" t="s">
        <v>1682</v>
      </c>
      <c r="F433" s="82"/>
      <c r="G433" s="112"/>
      <c r="H433" s="114" t="s">
        <v>17</v>
      </c>
      <c r="I433" s="84"/>
      <c r="J433" s="109" t="s">
        <v>35</v>
      </c>
    </row>
    <row r="434" spans="1:10" ht="72" customHeight="1">
      <c r="A434" s="109" t="s">
        <v>1683</v>
      </c>
      <c r="B434" s="82" t="s">
        <v>1659</v>
      </c>
      <c r="C434" s="82" t="s">
        <v>1684</v>
      </c>
      <c r="D434" s="82" t="s">
        <v>1685</v>
      </c>
      <c r="E434" s="82" t="s">
        <v>1686</v>
      </c>
      <c r="F434" s="82"/>
      <c r="G434" s="112"/>
      <c r="H434" s="114" t="s">
        <v>17</v>
      </c>
      <c r="I434" s="84"/>
      <c r="J434" s="109" t="s">
        <v>31</v>
      </c>
    </row>
    <row r="435" spans="1:10" ht="72" customHeight="1">
      <c r="A435" s="109" t="s">
        <v>1687</v>
      </c>
      <c r="B435" s="82" t="s">
        <v>1688</v>
      </c>
      <c r="C435" s="82" t="s">
        <v>1689</v>
      </c>
      <c r="D435" s="82" t="s">
        <v>1690</v>
      </c>
      <c r="E435" s="82" t="s">
        <v>1691</v>
      </c>
      <c r="F435" s="82"/>
      <c r="G435" s="112"/>
      <c r="H435" s="114" t="s">
        <v>17</v>
      </c>
      <c r="I435" s="84"/>
      <c r="J435" s="109" t="s">
        <v>35</v>
      </c>
    </row>
    <row r="436" spans="1:10" ht="72" customHeight="1">
      <c r="A436" s="109" t="s">
        <v>1692</v>
      </c>
      <c r="B436" s="82" t="s">
        <v>1688</v>
      </c>
      <c r="C436" s="82" t="s">
        <v>1693</v>
      </c>
      <c r="D436" s="82" t="s">
        <v>1694</v>
      </c>
      <c r="E436" s="82" t="s">
        <v>1695</v>
      </c>
      <c r="F436" s="82"/>
      <c r="G436" s="112"/>
      <c r="H436" s="114" t="s">
        <v>17</v>
      </c>
      <c r="I436" s="84"/>
      <c r="J436" s="109" t="s">
        <v>31</v>
      </c>
    </row>
    <row r="437" spans="1:10" ht="72" customHeight="1">
      <c r="A437" s="109" t="s">
        <v>1696</v>
      </c>
      <c r="B437" s="82" t="s">
        <v>1688</v>
      </c>
      <c r="C437" s="82" t="s">
        <v>1697</v>
      </c>
      <c r="D437" s="82" t="s">
        <v>1698</v>
      </c>
      <c r="E437" s="82" t="s">
        <v>1699</v>
      </c>
      <c r="F437" s="82"/>
      <c r="G437" s="112"/>
      <c r="H437" s="114" t="s">
        <v>17</v>
      </c>
      <c r="I437" s="84"/>
      <c r="J437" s="109" t="s">
        <v>35</v>
      </c>
    </row>
    <row r="438" spans="1:10" ht="72" customHeight="1">
      <c r="A438" s="109" t="s">
        <v>1700</v>
      </c>
      <c r="B438" s="82" t="s">
        <v>1688</v>
      </c>
      <c r="C438" s="82" t="s">
        <v>1701</v>
      </c>
      <c r="D438" s="82" t="s">
        <v>1702</v>
      </c>
      <c r="E438" s="82" t="s">
        <v>1703</v>
      </c>
      <c r="F438" s="82"/>
      <c r="G438" s="112"/>
      <c r="H438" s="114" t="s">
        <v>17</v>
      </c>
      <c r="I438" s="84"/>
      <c r="J438" s="109" t="s">
        <v>35</v>
      </c>
    </row>
    <row r="439" spans="1:10" ht="72" customHeight="1">
      <c r="A439" s="109" t="s">
        <v>1704</v>
      </c>
      <c r="B439" s="82" t="s">
        <v>1688</v>
      </c>
      <c r="C439" s="82" t="s">
        <v>1705</v>
      </c>
      <c r="D439" s="82" t="s">
        <v>1706</v>
      </c>
      <c r="E439" s="82" t="s">
        <v>1707</v>
      </c>
      <c r="F439" s="82"/>
      <c r="G439" s="112"/>
      <c r="H439" s="114" t="s">
        <v>17</v>
      </c>
      <c r="I439" s="84"/>
      <c r="J439" s="109" t="s">
        <v>35</v>
      </c>
    </row>
    <row r="440" spans="1:10" ht="72" customHeight="1">
      <c r="A440" s="109" t="s">
        <v>1708</v>
      </c>
      <c r="B440" s="82" t="s">
        <v>1688</v>
      </c>
      <c r="C440" s="82" t="s">
        <v>1709</v>
      </c>
      <c r="D440" s="82" t="s">
        <v>1710</v>
      </c>
      <c r="E440" s="82" t="s">
        <v>1711</v>
      </c>
      <c r="F440" s="82"/>
      <c r="G440" s="112"/>
      <c r="H440" s="114" t="s">
        <v>17</v>
      </c>
      <c r="I440" s="84"/>
      <c r="J440" s="109" t="s">
        <v>31</v>
      </c>
    </row>
    <row r="441" spans="1:10" ht="72" customHeight="1">
      <c r="A441" s="109" t="s">
        <v>1712</v>
      </c>
      <c r="B441" s="82" t="s">
        <v>1688</v>
      </c>
      <c r="C441" s="82" t="s">
        <v>1713</v>
      </c>
      <c r="D441" s="82" t="s">
        <v>1714</v>
      </c>
      <c r="E441" s="82" t="s">
        <v>1603</v>
      </c>
      <c r="F441" s="82"/>
      <c r="G441" s="112"/>
      <c r="H441" s="114" t="s">
        <v>17</v>
      </c>
      <c r="I441" s="84"/>
      <c r="J441" s="109" t="s">
        <v>31</v>
      </c>
    </row>
    <row r="442" spans="1:10" ht="72" customHeight="1">
      <c r="A442" s="109" t="s">
        <v>1715</v>
      </c>
      <c r="B442" s="82" t="s">
        <v>1716</v>
      </c>
      <c r="C442" s="82" t="s">
        <v>1717</v>
      </c>
      <c r="D442" s="82" t="s">
        <v>1718</v>
      </c>
      <c r="E442" s="82" t="s">
        <v>451</v>
      </c>
      <c r="F442" s="82"/>
      <c r="G442" s="112"/>
      <c r="H442" s="114" t="s">
        <v>17</v>
      </c>
      <c r="I442" s="84"/>
      <c r="J442" s="109" t="s">
        <v>33</v>
      </c>
    </row>
    <row r="443" spans="1:10" ht="72" customHeight="1">
      <c r="A443" s="109" t="s">
        <v>1719</v>
      </c>
      <c r="B443" s="82" t="s">
        <v>1716</v>
      </c>
      <c r="C443" s="82" t="s">
        <v>1720</v>
      </c>
      <c r="D443" s="82" t="s">
        <v>1721</v>
      </c>
      <c r="E443" s="82" t="s">
        <v>454</v>
      </c>
      <c r="F443" s="82"/>
      <c r="G443" s="112"/>
      <c r="H443" s="114" t="s">
        <v>17</v>
      </c>
      <c r="I443" s="84"/>
      <c r="J443" s="109" t="s">
        <v>41</v>
      </c>
    </row>
    <row r="444" spans="1:10" ht="72" customHeight="1">
      <c r="A444" s="109" t="s">
        <v>1722</v>
      </c>
      <c r="B444" s="82" t="s">
        <v>1716</v>
      </c>
      <c r="C444" s="82" t="s">
        <v>1723</v>
      </c>
      <c r="D444" s="82" t="s">
        <v>1724</v>
      </c>
      <c r="E444" s="82" t="s">
        <v>457</v>
      </c>
      <c r="F444" s="82"/>
      <c r="G444" s="112"/>
      <c r="H444" s="114" t="s">
        <v>17</v>
      </c>
      <c r="I444" s="84"/>
      <c r="J444" s="109" t="s">
        <v>35</v>
      </c>
    </row>
    <row r="445" spans="1:10" ht="72" customHeight="1">
      <c r="A445" s="109" t="s">
        <v>1725</v>
      </c>
      <c r="B445" s="82" t="s">
        <v>1716</v>
      </c>
      <c r="C445" s="82" t="s">
        <v>1726</v>
      </c>
      <c r="D445" s="82" t="s">
        <v>1727</v>
      </c>
      <c r="E445" s="82" t="s">
        <v>1728</v>
      </c>
      <c r="F445" s="82"/>
      <c r="G445" s="112"/>
      <c r="H445" s="114" t="s">
        <v>17</v>
      </c>
      <c r="I445" s="84"/>
      <c r="J445" s="109" t="s">
        <v>33</v>
      </c>
    </row>
    <row r="446" spans="1:10" ht="72" customHeight="1">
      <c r="A446" s="109" t="s">
        <v>1729</v>
      </c>
      <c r="B446" s="82" t="s">
        <v>1716</v>
      </c>
      <c r="C446" s="82" t="s">
        <v>1730</v>
      </c>
      <c r="D446" s="82" t="s">
        <v>1731</v>
      </c>
      <c r="E446" s="82" t="s">
        <v>1732</v>
      </c>
      <c r="F446" s="82"/>
      <c r="G446" s="112"/>
      <c r="H446" s="114" t="s">
        <v>17</v>
      </c>
      <c r="I446" s="84"/>
      <c r="J446" s="109" t="s">
        <v>33</v>
      </c>
    </row>
    <row r="447" spans="1:10" ht="72" customHeight="1">
      <c r="A447" s="109" t="s">
        <v>1733</v>
      </c>
      <c r="B447" s="82" t="s">
        <v>1716</v>
      </c>
      <c r="C447" s="82" t="s">
        <v>1734</v>
      </c>
      <c r="D447" s="82" t="s">
        <v>1735</v>
      </c>
      <c r="E447" s="82" t="s">
        <v>466</v>
      </c>
      <c r="F447" s="82"/>
      <c r="G447" s="112"/>
      <c r="H447" s="114" t="s">
        <v>17</v>
      </c>
      <c r="I447" s="84"/>
      <c r="J447" s="109" t="s">
        <v>35</v>
      </c>
    </row>
    <row r="448" spans="1:10" ht="72" customHeight="1">
      <c r="A448" s="109" t="s">
        <v>1736</v>
      </c>
      <c r="B448" s="82" t="s">
        <v>1716</v>
      </c>
      <c r="C448" s="82" t="s">
        <v>1737</v>
      </c>
      <c r="D448" s="82" t="s">
        <v>1738</v>
      </c>
      <c r="E448" s="82" t="s">
        <v>469</v>
      </c>
      <c r="F448" s="82"/>
      <c r="G448" s="112"/>
      <c r="H448" s="114" t="s">
        <v>17</v>
      </c>
      <c r="I448" s="84"/>
      <c r="J448" s="109" t="s">
        <v>33</v>
      </c>
    </row>
    <row r="449" spans="1:10" ht="72" customHeight="1">
      <c r="A449" s="109" t="s">
        <v>1739</v>
      </c>
      <c r="B449" s="82" t="s">
        <v>1716</v>
      </c>
      <c r="C449" s="82" t="s">
        <v>1740</v>
      </c>
      <c r="D449" s="82" t="s">
        <v>1741</v>
      </c>
      <c r="E449" s="82" t="s">
        <v>472</v>
      </c>
      <c r="F449" s="82"/>
      <c r="G449" s="112"/>
      <c r="H449" s="114" t="s">
        <v>17</v>
      </c>
      <c r="I449" s="84"/>
      <c r="J449" s="109" t="s">
        <v>35</v>
      </c>
    </row>
    <row r="450" spans="1:10" ht="72" customHeight="1">
      <c r="A450" s="109" t="s">
        <v>1742</v>
      </c>
      <c r="B450" s="82" t="s">
        <v>1716</v>
      </c>
      <c r="C450" s="82" t="s">
        <v>1743</v>
      </c>
      <c r="D450" s="82" t="s">
        <v>1744</v>
      </c>
      <c r="E450" s="82" t="s">
        <v>1745</v>
      </c>
      <c r="F450" s="82"/>
      <c r="G450" s="112"/>
      <c r="H450" s="114" t="s">
        <v>17</v>
      </c>
      <c r="I450" s="84"/>
      <c r="J450" s="109" t="s">
        <v>31</v>
      </c>
    </row>
    <row r="451" spans="1:10" ht="72" customHeight="1">
      <c r="A451" s="109" t="s">
        <v>1746</v>
      </c>
      <c r="B451" s="82" t="s">
        <v>1716</v>
      </c>
      <c r="C451" s="82" t="s">
        <v>1747</v>
      </c>
      <c r="D451" s="82" t="s">
        <v>1748</v>
      </c>
      <c r="E451" s="82" t="s">
        <v>1749</v>
      </c>
      <c r="F451" s="82"/>
      <c r="G451" s="112"/>
      <c r="H451" s="114" t="s">
        <v>17</v>
      </c>
      <c r="I451" s="84"/>
      <c r="J451" s="109" t="s">
        <v>31</v>
      </c>
    </row>
    <row r="452" spans="1:10" ht="72" customHeight="1">
      <c r="A452" s="109" t="s">
        <v>1750</v>
      </c>
      <c r="B452" s="82" t="s">
        <v>1716</v>
      </c>
      <c r="C452" s="82" t="s">
        <v>1751</v>
      </c>
      <c r="D452" s="82" t="s">
        <v>1752</v>
      </c>
      <c r="E452" s="82" t="s">
        <v>1135</v>
      </c>
      <c r="F452" s="82"/>
      <c r="G452" s="112"/>
      <c r="H452" s="114" t="s">
        <v>17</v>
      </c>
      <c r="I452" s="84"/>
      <c r="J452" s="109" t="s">
        <v>35</v>
      </c>
    </row>
    <row r="453" spans="1:10" ht="72" customHeight="1">
      <c r="A453" s="109" t="s">
        <v>1753</v>
      </c>
      <c r="B453" s="82" t="s">
        <v>1716</v>
      </c>
      <c r="C453" s="82" t="s">
        <v>1754</v>
      </c>
      <c r="D453" s="82" t="s">
        <v>1755</v>
      </c>
      <c r="E453" s="82" t="s">
        <v>1756</v>
      </c>
      <c r="F453" s="82"/>
      <c r="G453" s="112"/>
      <c r="H453" s="114" t="s">
        <v>17</v>
      </c>
      <c r="I453" s="84"/>
      <c r="J453" s="109" t="s">
        <v>35</v>
      </c>
    </row>
    <row r="454" spans="1:10" ht="72" customHeight="1">
      <c r="A454" s="109" t="s">
        <v>1757</v>
      </c>
      <c r="B454" s="82" t="s">
        <v>1716</v>
      </c>
      <c r="C454" s="82" t="s">
        <v>1758</v>
      </c>
      <c r="D454" s="82" t="s">
        <v>1759</v>
      </c>
      <c r="E454" s="82" t="s">
        <v>1603</v>
      </c>
      <c r="F454" s="82"/>
      <c r="G454" s="112"/>
      <c r="H454" s="114" t="s">
        <v>17</v>
      </c>
      <c r="I454" s="84"/>
      <c r="J454" s="109" t="s">
        <v>31</v>
      </c>
    </row>
    <row r="455" spans="1:10" ht="72" customHeight="1">
      <c r="A455" s="109" t="s">
        <v>1760</v>
      </c>
      <c r="B455" s="82" t="s">
        <v>1761</v>
      </c>
      <c r="C455" s="82" t="s">
        <v>1762</v>
      </c>
      <c r="D455" s="82" t="s">
        <v>1763</v>
      </c>
      <c r="E455" s="82" t="s">
        <v>1764</v>
      </c>
      <c r="F455" s="82"/>
      <c r="G455" s="112"/>
      <c r="H455" s="114" t="s">
        <v>17</v>
      </c>
      <c r="I455" s="84"/>
      <c r="J455" s="109" t="s">
        <v>35</v>
      </c>
    </row>
    <row r="456" spans="1:10" ht="72" customHeight="1">
      <c r="A456" s="109" t="s">
        <v>1765</v>
      </c>
      <c r="B456" s="82" t="s">
        <v>1761</v>
      </c>
      <c r="C456" s="82" t="s">
        <v>1766</v>
      </c>
      <c r="D456" s="82" t="s">
        <v>1767</v>
      </c>
      <c r="E456" s="82" t="s">
        <v>1768</v>
      </c>
      <c r="F456" s="82"/>
      <c r="G456" s="112"/>
      <c r="H456" s="114" t="s">
        <v>17</v>
      </c>
      <c r="I456" s="84"/>
      <c r="J456" s="109" t="s">
        <v>33</v>
      </c>
    </row>
    <row r="457" spans="1:10" ht="72" customHeight="1">
      <c r="A457" s="109" t="s">
        <v>1769</v>
      </c>
      <c r="B457" s="82" t="s">
        <v>1761</v>
      </c>
      <c r="C457" s="82" t="s">
        <v>1770</v>
      </c>
      <c r="D457" s="82" t="s">
        <v>1771</v>
      </c>
      <c r="E457" s="82" t="s">
        <v>1772</v>
      </c>
      <c r="F457" s="82"/>
      <c r="G457" s="112"/>
      <c r="H457" s="114" t="s">
        <v>17</v>
      </c>
      <c r="I457" s="84"/>
      <c r="J457" s="109" t="s">
        <v>35</v>
      </c>
    </row>
    <row r="458" spans="1:10" ht="72" customHeight="1">
      <c r="A458" s="109" t="s">
        <v>1773</v>
      </c>
      <c r="B458" s="82" t="s">
        <v>1761</v>
      </c>
      <c r="C458" s="82" t="s">
        <v>1774</v>
      </c>
      <c r="D458" s="82" t="s">
        <v>1775</v>
      </c>
      <c r="E458" s="82" t="s">
        <v>1776</v>
      </c>
      <c r="F458" s="82"/>
      <c r="G458" s="112"/>
      <c r="H458" s="114" t="s">
        <v>17</v>
      </c>
      <c r="I458" s="84"/>
      <c r="J458" s="109" t="s">
        <v>31</v>
      </c>
    </row>
    <row r="459" spans="1:10" ht="72" customHeight="1">
      <c r="A459" s="109" t="s">
        <v>1777</v>
      </c>
      <c r="B459" s="82" t="s">
        <v>1761</v>
      </c>
      <c r="C459" s="82" t="s">
        <v>1778</v>
      </c>
      <c r="D459" s="82" t="s">
        <v>1779</v>
      </c>
      <c r="E459" s="82" t="s">
        <v>1780</v>
      </c>
      <c r="F459" s="82"/>
      <c r="G459" s="112"/>
      <c r="H459" s="114" t="s">
        <v>17</v>
      </c>
      <c r="I459" s="84"/>
      <c r="J459" s="109" t="s">
        <v>35</v>
      </c>
    </row>
    <row r="460" spans="1:10" ht="72" customHeight="1">
      <c r="A460" s="109" t="s">
        <v>1781</v>
      </c>
      <c r="B460" s="82" t="s">
        <v>1761</v>
      </c>
      <c r="C460" s="82" t="s">
        <v>1782</v>
      </c>
      <c r="D460" s="82" t="s">
        <v>1783</v>
      </c>
      <c r="E460" s="82" t="s">
        <v>1784</v>
      </c>
      <c r="F460" s="82"/>
      <c r="G460" s="112"/>
      <c r="H460" s="114" t="s">
        <v>17</v>
      </c>
      <c r="I460" s="84"/>
      <c r="J460" s="109" t="s">
        <v>31</v>
      </c>
    </row>
    <row r="461" spans="1:10" ht="72" customHeight="1">
      <c r="A461" s="109" t="s">
        <v>1785</v>
      </c>
      <c r="B461" s="82" t="s">
        <v>1761</v>
      </c>
      <c r="C461" s="82" t="s">
        <v>1786</v>
      </c>
      <c r="D461" s="82" t="s">
        <v>1787</v>
      </c>
      <c r="E461" s="82" t="s">
        <v>1788</v>
      </c>
      <c r="F461" s="82"/>
      <c r="G461" s="112"/>
      <c r="H461" s="114" t="s">
        <v>17</v>
      </c>
      <c r="I461" s="84"/>
      <c r="J461" s="109" t="s">
        <v>35</v>
      </c>
    </row>
    <row r="462" spans="1:10" ht="72" customHeight="1">
      <c r="A462" s="109" t="s">
        <v>1789</v>
      </c>
      <c r="B462" s="82" t="s">
        <v>1761</v>
      </c>
      <c r="C462" s="82" t="s">
        <v>1790</v>
      </c>
      <c r="D462" s="82" t="s">
        <v>1791</v>
      </c>
      <c r="E462" s="82" t="s">
        <v>1792</v>
      </c>
      <c r="F462" s="82"/>
      <c r="G462" s="112"/>
      <c r="H462" s="114" t="s">
        <v>17</v>
      </c>
      <c r="I462" s="84"/>
      <c r="J462" s="109" t="s">
        <v>31</v>
      </c>
    </row>
    <row r="463" spans="1:10" ht="72" customHeight="1">
      <c r="A463" s="109" t="s">
        <v>1793</v>
      </c>
      <c r="B463" s="82" t="s">
        <v>1761</v>
      </c>
      <c r="C463" s="82" t="s">
        <v>1794</v>
      </c>
      <c r="D463" s="82" t="s">
        <v>1795</v>
      </c>
      <c r="E463" s="82" t="s">
        <v>1796</v>
      </c>
      <c r="F463" s="82"/>
      <c r="G463" s="112"/>
      <c r="H463" s="114" t="s">
        <v>17</v>
      </c>
      <c r="I463" s="84"/>
      <c r="J463" s="109" t="s">
        <v>33</v>
      </c>
    </row>
    <row r="464" spans="1:10" ht="72" customHeight="1">
      <c r="A464" s="109" t="s">
        <v>1797</v>
      </c>
      <c r="B464" s="82" t="s">
        <v>1761</v>
      </c>
      <c r="C464" s="82" t="s">
        <v>1798</v>
      </c>
      <c r="D464" s="82" t="s">
        <v>1799</v>
      </c>
      <c r="E464" s="82" t="s">
        <v>1800</v>
      </c>
      <c r="F464" s="82"/>
      <c r="G464" s="112"/>
      <c r="H464" s="114" t="s">
        <v>17</v>
      </c>
      <c r="I464" s="84"/>
      <c r="J464" s="109" t="s">
        <v>35</v>
      </c>
    </row>
  </sheetData>
  <autoFilter ref="A9:J464" xr:uid="{00000000-0001-0000-0100-000000000000}"/>
  <mergeCells count="10">
    <mergeCell ref="B1:D2"/>
    <mergeCell ref="A8:D8"/>
    <mergeCell ref="B5:D5"/>
    <mergeCell ref="H5:J5"/>
    <mergeCell ref="H6:J6"/>
    <mergeCell ref="H7:J7"/>
    <mergeCell ref="B3:D3"/>
    <mergeCell ref="H4:J4"/>
    <mergeCell ref="H3:J3"/>
    <mergeCell ref="B4:D4"/>
  </mergeCells>
  <conditionalFormatting sqref="H10:H11 H30 H41 H48:H51 H65:H66 H75:H81 H102:H103 H112:H115 H137:H142 H163:H171 H189:H206">
    <cfRule type="expression" dxfId="6" priority="1">
      <formula>H10="Fail"</formula>
    </cfRule>
    <cfRule type="expression" dxfId="5" priority="2">
      <formula>H10="Pass"</formula>
    </cfRule>
    <cfRule type="expression" dxfId="4" priority="3">
      <formula>H10="Pending"</formula>
    </cfRule>
  </conditionalFormatting>
  <conditionalFormatting sqref="J10:J464">
    <cfRule type="expression" dxfId="3" priority="4">
      <formula>J10="Critical"</formula>
    </cfRule>
    <cfRule type="expression" dxfId="2" priority="5">
      <formula>J10="High"</formula>
    </cfRule>
    <cfRule type="expression" dxfId="1" priority="6">
      <formula>J10="Medium"</formula>
    </cfRule>
    <cfRule type="expression" dxfId="0" priority="7">
      <formula>J10="Low"</formula>
    </cfRule>
  </conditionalFormatting>
  <dataValidations disablePrompts="1" count="2">
    <dataValidation type="list" sqref="H10:H11 H30 H41 H48:H51 H65:H66 H75:H81 H102:H103 H112:H115 H137:H142 H163:H171 H189:H206" xr:uid="{00000000-0002-0000-0100-000000000000}">
      <formula1>"Pass,Fail,Pending,Blocked"</formula1>
    </dataValidation>
    <dataValidation type="list" sqref="J10:J246" xr:uid="{00000000-0002-0000-0100-000001000000}">
      <formula1>"Low,Medium,High,Critical"</formula1>
    </dataValidation>
  </dataValidations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37" sqref="D37"/>
    </sheetView>
  </sheetViews>
  <sheetFormatPr defaultRowHeight="13.5"/>
  <cols>
    <col min="3" max="3" width="22.875" customWidth="1"/>
    <col min="7" max="7" width="18.875" customWidth="1"/>
  </cols>
  <sheetData>
    <row r="1" spans="1:7" ht="22.5">
      <c r="A1" s="14" t="s">
        <v>277</v>
      </c>
      <c r="B1" s="15"/>
      <c r="C1" s="16"/>
      <c r="D1" s="16"/>
      <c r="E1" s="16"/>
      <c r="F1" s="16"/>
      <c r="G1" s="17"/>
    </row>
    <row r="2" spans="1:7" ht="14.25" customHeight="1">
      <c r="A2" s="14"/>
      <c r="B2" s="15"/>
      <c r="C2" s="16"/>
      <c r="D2" s="16"/>
      <c r="E2" s="16"/>
      <c r="F2" s="16"/>
      <c r="G2" s="17"/>
    </row>
    <row r="3" spans="1:7" ht="14.25">
      <c r="B3" s="18" t="s">
        <v>278</v>
      </c>
      <c r="C3" s="16"/>
      <c r="D3" s="16"/>
      <c r="E3" s="16"/>
      <c r="F3" s="16"/>
      <c r="G3" s="17"/>
    </row>
    <row r="4" spans="1:7" ht="14.25">
      <c r="B4" s="18" t="s">
        <v>370</v>
      </c>
      <c r="C4" s="77"/>
      <c r="D4" s="18"/>
      <c r="E4" s="18"/>
      <c r="F4" s="18"/>
      <c r="G4" s="18"/>
    </row>
    <row r="5" spans="1:7" ht="14.25">
      <c r="A5" s="18"/>
      <c r="B5" s="18"/>
      <c r="C5" s="18"/>
      <c r="D5" s="18"/>
      <c r="E5" s="18"/>
      <c r="F5" s="18"/>
      <c r="G5" s="18"/>
    </row>
    <row r="6" spans="1:7" ht="14.25">
      <c r="A6" s="18"/>
      <c r="B6" s="18"/>
      <c r="C6" s="18"/>
      <c r="D6" s="18"/>
      <c r="E6" s="18"/>
      <c r="F6" s="18"/>
      <c r="G6" s="18"/>
    </row>
    <row r="7" spans="1:7" ht="14.25">
      <c r="A7" s="18"/>
      <c r="B7" s="47" t="s">
        <v>279</v>
      </c>
      <c r="C7" s="48" t="s">
        <v>280</v>
      </c>
      <c r="D7" s="49" t="s">
        <v>16</v>
      </c>
      <c r="E7" s="48" t="s">
        <v>18</v>
      </c>
      <c r="F7" s="48" t="s">
        <v>17</v>
      </c>
      <c r="G7" s="50" t="s">
        <v>281</v>
      </c>
    </row>
    <row r="8" spans="1:7" s="56" customFormat="1" ht="38.25">
      <c r="A8" s="60"/>
      <c r="B8" s="61">
        <v>1</v>
      </c>
      <c r="C8" s="62" t="s">
        <v>380</v>
      </c>
      <c r="D8" s="63">
        <f>'HRM Test Cases'!B6</f>
        <v>61</v>
      </c>
      <c r="E8" s="62">
        <f>'HRM Test Cases'!B7</f>
        <v>0</v>
      </c>
      <c r="F8" s="62">
        <f>'HRM Test Cases'!D6</f>
        <v>394</v>
      </c>
      <c r="G8" s="63">
        <f>'HRM Test Cases'!D7</f>
        <v>455</v>
      </c>
    </row>
    <row r="9" spans="1:7" ht="14.25">
      <c r="A9" s="18"/>
      <c r="B9" s="30"/>
      <c r="C9" s="29"/>
      <c r="D9" s="65"/>
      <c r="E9" s="28"/>
      <c r="F9" s="28"/>
      <c r="G9" s="31"/>
    </row>
    <row r="10" spans="1:7" ht="14.25">
      <c r="A10" s="18"/>
      <c r="B10" s="51"/>
      <c r="C10" s="52" t="s">
        <v>282</v>
      </c>
      <c r="D10" s="99">
        <f>SUM(D6:D9)</f>
        <v>61</v>
      </c>
      <c r="E10" s="99">
        <f>SUM(E6:E9)</f>
        <v>0</v>
      </c>
      <c r="F10" s="99">
        <f>SUM(F6:F9)</f>
        <v>394</v>
      </c>
      <c r="G10" s="100">
        <f>SUM(G6:G9)</f>
        <v>455</v>
      </c>
    </row>
    <row r="11" spans="1:7" ht="14.25">
      <c r="A11" s="18"/>
      <c r="B11" s="19"/>
      <c r="C11" s="18"/>
      <c r="D11" s="20"/>
      <c r="E11" s="21"/>
      <c r="F11" s="21"/>
      <c r="G11" s="21"/>
    </row>
    <row r="12" spans="1:7" ht="14.25">
      <c r="A12" s="18"/>
      <c r="B12" s="18"/>
      <c r="C12" s="18" t="s">
        <v>283</v>
      </c>
      <c r="D12" s="18"/>
      <c r="E12" s="101">
        <f>IFERROR((D10+E10)*100/G10,0)</f>
        <v>13.406593406593407</v>
      </c>
      <c r="F12" s="18" t="s">
        <v>284</v>
      </c>
      <c r="G12" s="22"/>
    </row>
    <row r="13" spans="1:7" ht="14.25">
      <c r="A13" s="18"/>
      <c r="B13" s="18"/>
      <c r="C13" s="18" t="s">
        <v>285</v>
      </c>
      <c r="D13" s="18"/>
      <c r="E13" s="101">
        <f>IFERROR(D10*100/(D10+E10),0)</f>
        <v>100</v>
      </c>
      <c r="F13" s="18" t="s">
        <v>284</v>
      </c>
      <c r="G13" s="22"/>
    </row>
    <row r="15" spans="1:7" ht="15">
      <c r="C15" s="89" t="s">
        <v>28</v>
      </c>
      <c r="D15" s="89" t="s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Danh sách chức năng</vt:lpstr>
      <vt:lpstr>Kết quả sau merge</vt:lpstr>
      <vt:lpstr>HRM Test Cases</vt:lpstr>
      <vt:lpstr>Test Report</vt:lpstr>
      <vt:lpstr>'Danh sách chức năng'!Print_Area</vt:lpstr>
      <vt:lpstr>'HRM Test Cases'!Print_Area</vt:lpstr>
      <vt:lpstr>'Danh sách chức năng'!Print_Titles</vt:lpstr>
      <vt:lpstr>'HRM 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vHozang</cp:lastModifiedBy>
  <dcterms:modified xsi:type="dcterms:W3CDTF">2026-07-30T14:25:28Z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2026-07-02T05:46:30Z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46943ba8-eb49-4638-ae80-5397e1c9fb4c</vt:lpwstr>
  </property>
  <property fmtid="{D5CDD505-2E9C-101B-9397-08002B2CF9AE}" pid="7" name="MSIP_Label_defa4170-0d19-0005-0004-bc88714345d2_ActionId">
    <vt:lpwstr>9f8412f5-e514-4b34-ac14-491e064934df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